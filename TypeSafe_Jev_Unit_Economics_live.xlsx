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Hiring" sheetId="3" state="visible" r:id="rId5"/>
    <sheet name="UnitEcon" sheetId="4" state="visible" r:id="rId6"/>
    <sheet name="Sensitivity" sheetId="5" state="visible" r:id="rId7"/>
    <sheet name="Scale" sheetId="6" state="visible" r:id="rId8"/>
    <sheet name="Runway" sheetId="7" state="visible" r:id="rId9"/>
    <sheet name="LiveTest" sheetId="8" state="visible" r:id="rId10"/>
    <sheet name="Prices"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<sst xmlns="http://schemas.openxmlformats.org/spreadsheetml/2006/main" count="674" uniqueCount="512">
  <si>
    <t xml:space="preserve">TypeSafe / Jev: outside-in unit economics</t>
  </si>
  <si>
    <t xml:space="preserve">Built from public information only (as of Sep 29, 2026). Every estimate is labeled on the Assumptions tab. Not TypeSafe data.</t>
  </si>
  <si>
    <t xml:space="preserve">Key output (current selections)</t>
  </si>
  <si>
    <t xml:space="preserve">Value</t>
  </si>
  <si>
    <t xml:space="preserve">Where it comes from</t>
  </si>
  <si>
    <t xml:space="preserve">Serving setup</t>
  </si>
  <si>
    <t xml:space="preserve">Assumptions dropdowns</t>
  </si>
  <si>
    <t xml:space="preserve">List price ($ / M input tokens)</t>
  </si>
  <si>
    <t xml:space="preserve">Confirmed, launch blog</t>
  </si>
  <si>
    <t xml:space="preserve">Est. cost to serve ($ / M tokens)</t>
  </si>
  <si>
    <t xml:space="preserve">UnitEcon</t>
  </si>
  <si>
    <t xml:space="preserve">Est. gross margin, BF16</t>
  </si>
  <si>
    <t xml:space="preserve">Est. gross margin, FP8</t>
  </si>
  <si>
    <t xml:space="preserve">Largest model that breaks even (B params, selected precision)</t>
  </si>
  <si>
    <t xml:space="preserve">Tokens per decision: Doom demo vs. sample finance workloads</t>
  </si>
  <si>
    <t xml:space="preserve">UnitEcon / LiveTest</t>
  </si>
  <si>
    <t xml:space="preserve">Jev price per decision ($)</t>
  </si>
  <si>
    <t xml:space="preserve">Customer savings vs. fast LLM</t>
  </si>
  <si>
    <t xml:space="preserve">Customer savings vs. reasoning LLM</t>
  </si>
  <si>
    <t xml:space="preserve">Utilization needed for reserved GPUs to beat on-demand</t>
  </si>
  <si>
    <t xml:space="preserve">Runway, months: low / base / high cash</t>
  </si>
  <si>
    <t xml:space="preserve">Runway (24 = at least 24)</t>
  </si>
  <si>
    <t xml:space="preserve">Hiring plan affordable?</t>
  </si>
  <si>
    <t xml:space="preserve">Hiring</t>
  </si>
  <si>
    <t xml:space="preserve">MEASURED: Jev billed input tokens per decision</t>
  </si>
  <si>
    <t xml:space="preserve">LiveTest (6 workloads)</t>
  </si>
  <si>
    <t xml:space="preserve">MEASURED: fixed tokens per call + multiplier on content</t>
  </si>
  <si>
    <t xml:space="preserve">LiveTest (6-point fit, rough)</t>
  </si>
  <si>
    <t xml:space="preserve">MEASURED: LLM cost / Jev cost, fast / reasoning</t>
  </si>
  <si>
    <t xml:space="preserve">LiveTest</t>
  </si>
  <si>
    <t xml:space="preserve">MEASURED: latency ms, Jev vs. fast / reasoning LLM</t>
  </si>
  <si>
    <t xml:space="preserve">MEASURED: decision agreement, fast / reasoning</t>
  </si>
  <si>
    <t xml:space="preserve">LiveTest (choice and yes/no only)</t>
  </si>
  <si>
    <t xml:space="preserve">Tabs</t>
  </si>
  <si>
    <t xml:space="preserve">Assumptions: every input with confidence and reasoning. Dropdowns switch GPU, precision, workload and comparison LLM.</t>
  </si>
  <si>
    <t xml:space="preserve">Hiring: current roster and a hiring plan with start months; checks runway against an 18-month target.</t>
  </si>
  <si>
    <t xml:space="preserve">UnitEcon: cost per token and per decision, BF16 vs FP8 margin, break-even model size, LLM comparison.</t>
  </si>
  <si>
    <t xml:space="preserve">Sensitivity: margin across model sizes, utilization, GPU types and GPU prices.</t>
  </si>
  <si>
    <t xml:space="preserve">Scale: the Jevons test, volume needed to cover fixed costs at different prices.</t>
  </si>
  <si>
    <t xml:space="preserve">Runway: 24-month monthly cash build, three cash cases, and the runway cost of the hiring plan.</t>
  </si>
  <si>
    <t xml:space="preserve">LiveTest: sample workload token counts, plus a paste area for your live API test results.</t>
  </si>
  <si>
    <t xml:space="preserve">Prices: GPU and LLM price and spec tables behind the dropdowns.</t>
  </si>
  <si>
    <t xml:space="preserve">Sources: where each public data point came from.</t>
  </si>
  <si>
    <t xml:space="preserve">Color key: blue = input, black = formula, green = link to another tab, yellow fill = dropdown or assumption that moves the answer most, grey fill = input area.</t>
  </si>
  <si>
    <t xml:space="preserve">Assumptions register</t>
  </si>
  <si>
    <t xml:space="preserve">Blue = input. Dropdowns in blue with yellow fill drive the lookups below them. Black = looked up or derived. Confidence: Confirmed / Reported / Estimate.</t>
  </si>
  <si>
    <t xml:space="preserve">Assumption</t>
  </si>
  <si>
    <t xml:space="preserve">Unit</t>
  </si>
  <si>
    <t xml:space="preserve">Confidence</t>
  </si>
  <si>
    <t xml:space="preserve">Reasoning / source</t>
  </si>
  <si>
    <t xml:space="preserve">A. Pricing and published data points</t>
  </si>
  <si>
    <t xml:space="preserve">Jev list price, input tokens</t>
  </si>
  <si>
    <t xml:space="preserve">$ / M tokens</t>
  </si>
  <si>
    <t xml:space="preserve">Confirmed</t>
  </si>
  <si>
    <t xml:space="preserve">TypeSafe launch blog, Sep 15 2026 ($42 per billion tokens). Some third-party sites list $0.25-$0.42; the official figure is $0.042.</t>
  </si>
  <si>
    <t xml:space="preserve">Jev list price, output tokens</t>
  </si>
  <si>
    <t xml:space="preserve">TypeSafe launch blog: output is free. Revenue depends entirely on input volume.</t>
  </si>
  <si>
    <t xml:space="preserve">Doom demo: cost per hour</t>
  </si>
  <si>
    <t xml:space="preserve">$ / hour</t>
  </si>
  <si>
    <t xml:space="preserve">Confirmed (approx.)</t>
  </si>
  <si>
    <t xml:space="preserve">Launch blog says ~$7/hour; rounding means the implied tokens per call is +/- 15%.</t>
  </si>
  <si>
    <t xml:space="preserve">Doom demo: queries per second</t>
  </si>
  <si>
    <t xml:space="preserve">queries / sec</t>
  </si>
  <si>
    <t xml:space="preserve">Launch blog.</t>
  </si>
  <si>
    <t xml:space="preserve">Free signup credit</t>
  </si>
  <si>
    <t xml:space="preserve">$</t>
  </si>
  <si>
    <t xml:space="preserve">Reported</t>
  </si>
  <si>
    <t xml:space="preserve">Firecrawl write-up: signups opened Sep 20 with $5 credit. Verify when you sign up.</t>
  </si>
  <si>
    <t xml:space="preserve">B. Serving compute (none of this is disclosed by TypeSafe)</t>
  </si>
  <si>
    <t xml:space="preserve">Serving GPU</t>
  </si>
  <si>
    <t xml:space="preserve">H100 SXM</t>
  </si>
  <si>
    <t xml:space="preserve">dropdown</t>
  </si>
  <si>
    <t xml:space="preserve">Estimate</t>
  </si>
  <si>
    <t xml:space="preserve">Serving precision</t>
  </si>
  <si>
    <t xml:space="preserve">BF16</t>
  </si>
  <si>
    <t xml:space="preserve">BF16 is the conservative default. Many inference teams serve in FP8, which doubles throughput per GPU. TypeSafe hasn't said which it uses, and this one switch moves gross margin more than any other input.</t>
  </si>
  <si>
    <t xml:space="preserve">GPU cost, committed</t>
  </si>
  <si>
    <t xml:space="preserve">$ / GPU-hour</t>
  </si>
  <si>
    <t xml:space="preserve">GPU cost, on-demand (same provider tier)</t>
  </si>
  <si>
    <t xml:space="preserve">GPU peak dense throughput</t>
  </si>
  <si>
    <t xml:space="preserve">TFLOPS</t>
  </si>
  <si>
    <t xml:space="preserve">Spec</t>
  </si>
  <si>
    <t xml:space="preserve">Model FLOPs utilization while serving</t>
  </si>
  <si>
    <t xml:space="preserve">%</t>
  </si>
  <si>
    <t xml:space="preserve">Jev reads input and answers in one pass (no generation loop), the most GPU-efficient kind of work. 40-55% is realistic; 40% is the conservative end.</t>
  </si>
  <si>
    <t xml:space="preserve">Fleet utilization (paid GPU-hours doing billable work)</t>
  </si>
  <si>
    <t xml:space="preserve">Traffic is bursty and a 70-500 ms latency promise requires spare capacity for peaks. The lever TypeSafe controls most directly.</t>
  </si>
  <si>
    <t xml:space="preserve">Model size</t>
  </si>
  <si>
    <t xml:space="preserve">B parameters</t>
  </si>
  <si>
    <t xml:space="preserve">Estimate - UNKNOWN</t>
  </si>
  <si>
    <t xml:space="preserve">Not disclosed; cannot be bounded from latency because a model can be split across GPUs (an 8B model reads 4,600 tokens in ~0.19s on one H100, ~25ms across eight). Use the break-even size on UnitEcon instead of defending this number.</t>
  </si>
  <si>
    <t xml:space="preserve">Serving overhead multiplier</t>
  </si>
  <si>
    <t xml:space="preserve">x</t>
  </si>
  <si>
    <t xml:space="preserve">Checked: attention adds ~8% for an 8B model at this context length; batching gaps and networking add the rest.</t>
  </si>
  <si>
    <t xml:space="preserve">Share of billed tokens that is real compute</t>
  </si>
  <si>
    <t xml:space="preserve">Live test: Jev billed ~2x the request size (a fixed ~180 tokens per call plus ~1.6x the content; LiveTest rows 34-35). If part of that is a billing floor rather than GPU work, TypeSafe's cost per billed token is lower than the physics implies. 100% = every billed token is real work; try 50-70% to see the margin impact.</t>
  </si>
  <si>
    <t xml:space="preserve">C. Workload</t>
  </si>
  <si>
    <t xml:space="preserve">Tokens per decision: which source</t>
  </si>
  <si>
    <t xml:space="preserve">Live test</t>
  </si>
  <si>
    <t xml:space="preserve">Choice</t>
  </si>
  <si>
    <t xml:space="preserve">Doom demo = implied by TypeSafe's own billing ($7/hr at 10 qps), but game state is unusually large. Sample workloads = six finance/ops decisions counted offline (LiveTest tab). Live test = your measured API results once pasted into LiveTest.</t>
  </si>
  <si>
    <t xml:space="preserve">Input tokens per decision (used)</t>
  </si>
  <si>
    <t xml:space="preserve">tokens</t>
  </si>
  <si>
    <t xml:space="preserve">Derived</t>
  </si>
  <si>
    <t xml:space="preserve">Comparable LLM, case 1 (fast, no reasoning)</t>
  </si>
  <si>
    <t xml:space="preserve">Claude Haiku 4.5</t>
  </si>
  <si>
    <t xml:space="preserve">Comparable LLM, case 2 (reasoning model)</t>
  </si>
  <si>
    <t xml:space="preserve">GPT-5.6 Terra</t>
  </si>
  <si>
    <t xml:space="preserve">LLM input tokens vs. Jev billed tokens, same decision</t>
  </si>
  <si>
    <t xml:space="preserve">Measured</t>
  </si>
  <si>
    <t xml:space="preserve">From the live test: LLMs were sent fewer input tokens than Jev billed for the same decision, even with extra formatting instructions, so this is negative. Falls back to +150 (the pre-test guess) if no live results are pasted.</t>
  </si>
  <si>
    <t xml:space="preserve">D. Company and cash</t>
  </si>
  <si>
    <t xml:space="preserve">Seed raised</t>
  </si>
  <si>
    <t xml:space="preserve">$mm</t>
  </si>
  <si>
    <t xml:space="preserve">Seed led by DCVC, announced Sep 15 2026.</t>
  </si>
  <si>
    <t xml:space="preserve">Seed valuation</t>
  </si>
  <si>
    <t xml:space="preserve">Forbes, citing a person familiar; not confirmed by TypeSafe.</t>
  </si>
  <si>
    <t xml:space="preserve">Cash on hand today: low case</t>
  </si>
  <si>
    <t xml:space="preserve">Two years of stealth spending may have used much of the seed.</t>
  </si>
  <si>
    <t xml:space="preserve">Cash on hand today: base case</t>
  </si>
  <si>
    <t xml:space="preserve">Cash on hand today: high case</t>
  </si>
  <si>
    <t xml:space="preserve">If the seed closed recently (announcements often lag closings) and earlier costs were covered by other money or credits.</t>
  </si>
  <si>
    <t xml:space="preserve">Current headcount</t>
  </si>
  <si>
    <t xml:space="preserve">people</t>
  </si>
  <si>
    <t xml:space="preserve">From Hiring tab</t>
  </si>
  <si>
    <t xml:space="preserve">Roster on the Hiring tab (25, matching the reported headcount).</t>
  </si>
  <si>
    <t xml:space="preserve">Current payroll, fully loaded</t>
  </si>
  <si>
    <t xml:space="preserve">$mm / year</t>
  </si>
  <si>
    <t xml:space="preserve">Cash cost only. Equity is a large part of AI-lab pay but doesn't burn cash.</t>
  </si>
  <si>
    <t xml:space="preserve">Minimum runway target</t>
  </si>
  <si>
    <t xml:space="preserve">months</t>
  </si>
  <si>
    <t xml:space="preserve">Policy choice</t>
  </si>
  <si>
    <t xml:space="preserve">Common startup rule: keep at least 18 months so you can raise from strength. Drives the hire check on the Hiring tab.</t>
  </si>
  <si>
    <t xml:space="preserve">Other opex (rent, software, legal, insurance)</t>
  </si>
  <si>
    <t xml:space="preserve">SF office near Embarcadero for 25-50 people plus the usual overhead.</t>
  </si>
  <si>
    <t xml:space="preserve">Research GPU</t>
  </si>
  <si>
    <t xml:space="preserve">Research / training GPUs</t>
  </si>
  <si>
    <t xml:space="preserve">GPUs</t>
  </si>
  <si>
    <t xml:space="preserve">Cut from 512: at 512 GPUs plus payroll, two years of stealth would have cost more than the $40M seed. Either they used less compute, had cloud credits, or raised undisclosed earlier money. Worth asking.</t>
  </si>
  <si>
    <t xml:space="preserve">Research GPU rate</t>
  </si>
  <si>
    <t xml:space="preserve">E. Revenue leakage and free credits</t>
  </si>
  <si>
    <t xml:space="preserve">Share of volume sold through gateways</t>
  </si>
  <si>
    <t xml:space="preserve">Jev is sold via Vercel AI Gateway, OpenRouter and DigitalOcean as well as direct. Share is unknown.</t>
  </si>
  <si>
    <t xml:space="preserve">Gateway fee on that volume</t>
  </si>
  <si>
    <t xml:space="preserve">Placeholder; the commercial terms with each gateway are not public.</t>
  </si>
  <si>
    <t xml:space="preserve">Payment processing on direct sales</t>
  </si>
  <si>
    <t xml:space="preserve">Typical card processing on prepaid credit purchases.</t>
  </si>
  <si>
    <t xml:space="preserve">New developer signups per month</t>
  </si>
  <si>
    <t xml:space="preserve">signups</t>
  </si>
  <si>
    <t xml:space="preserve">Share of free credit actually used</t>
  </si>
  <si>
    <t xml:space="preserve">F. Volume and efficiency</t>
  </si>
  <si>
    <t xml:space="preserve">Billed tokens per day, month 1</t>
  </si>
  <si>
    <t xml:space="preserve">B tokens / day</t>
  </si>
  <si>
    <t xml:space="preserve">Volume is set in tokens because that's what's billed, so switching the tokens-per-decision source doesn't change revenue. Only public signal: ~13% of Vercel AI Gateway paid teams tried Jev in its first 24 hours (trial, not paid demand).</t>
  </si>
  <si>
    <t xml:space="preserve">Implied annualized revenue, month 1</t>
  </si>
  <si>
    <t xml:space="preserve">Sanity check on the volume input: is this plausible two weeks after launch?</t>
  </si>
  <si>
    <t xml:space="preserve">Implied decisions per day, month 1</t>
  </si>
  <si>
    <t xml:space="preserve">M decisions / day</t>
  </si>
  <si>
    <t xml:space="preserve">Depends on the tokens-per-decision source.</t>
  </si>
  <si>
    <t xml:space="preserve">Volume growth per month</t>
  </si>
  <si>
    <t xml:space="preserve">About 5x a year. Aggressive but consistent with a hot launch.</t>
  </si>
  <si>
    <t xml:space="preserve">Cost-per-token improvement per month</t>
  </si>
  <si>
    <t xml:space="preserve">Kernels, quantization, cheaper hardware. 3%/mo is ~31%/yr; AI inference costs have historically fallen faster.</t>
  </si>
  <si>
    <t xml:space="preserve">Hiring plan and affordability check</t>
  </si>
  <si>
    <t xml:space="preserve">Current roster is fixed. Add planned hires below with a start month; payroll and runway update everywhere.</t>
  </si>
  <si>
    <t xml:space="preserve">Hire check</t>
  </si>
  <si>
    <t xml:space="preserve">Current annual payroll, fully loaded ($mm)</t>
  </si>
  <si>
    <t xml:space="preserve">Planned hires (people)</t>
  </si>
  <si>
    <t xml:space="preserve">Headcount at month 24</t>
  </si>
  <si>
    <t xml:space="preserve">Payroll at month 24, annualized ($mm)</t>
  </si>
  <si>
    <t xml:space="preserve">Minimum runway target (months)</t>
  </si>
  <si>
    <t xml:space="preserve">Runway on base-case cash with this plan (months; 24 = at least 24)</t>
  </si>
  <si>
    <t xml:space="preserve">Runway used up by the planned hires (months)</t>
  </si>
  <si>
    <t xml:space="preserve">Can we afford this plan?</t>
  </si>
  <si>
    <t xml:space="preserve">Current team (fixed)</t>
  </si>
  <si>
    <t xml:space="preserve">Role</t>
  </si>
  <si>
    <t xml:space="preserve">Function</t>
  </si>
  <si>
    <t xml:space="preserve">Type</t>
  </si>
  <si>
    <t xml:space="preserve">Count</t>
  </si>
  <si>
    <t xml:space="preserve">Base salary ($k, est.)</t>
  </si>
  <si>
    <t xml:space="preserve">Load factor</t>
  </si>
  <si>
    <t xml:space="preserve">Loaded cost / person ($k)</t>
  </si>
  <si>
    <t xml:space="preserve">Annual cost ($k)</t>
  </si>
  <si>
    <t xml:space="preserve">Notes</t>
  </si>
  <si>
    <t xml:space="preserve">Co-founder</t>
  </si>
  <si>
    <t xml:space="preserve">Leadership</t>
  </si>
  <si>
    <t xml:space="preserve">FTE</t>
  </si>
  <si>
    <t xml:space="preserve">Fixed. Founders often take below-market cash.</t>
  </si>
  <si>
    <t xml:space="preserve">Member of Technical Staff</t>
  </si>
  <si>
    <t xml:space="preserve">R&amp;D</t>
  </si>
  <si>
    <t xml:space="preserve">Core research and engineering; ex-OpenAI / Google Brain / FAIR talent.</t>
  </si>
  <si>
    <t xml:space="preserve">Research Engineer</t>
  </si>
  <si>
    <t xml:space="preserve">Developer Platform</t>
  </si>
  <si>
    <t xml:space="preserve">API, SDKs, console.</t>
  </si>
  <si>
    <t xml:space="preserve">Product</t>
  </si>
  <si>
    <t xml:space="preserve">Listed twice in the roster, so counted as 2.</t>
  </si>
  <si>
    <t xml:space="preserve">GTM</t>
  </si>
  <si>
    <t xml:space="preserve">Developer Advocate</t>
  </si>
  <si>
    <t xml:space="preserve">Chief of Staff</t>
  </si>
  <si>
    <t xml:space="preserve">G&amp;A</t>
  </si>
  <si>
    <t xml:space="preserve">Head of Recruiting</t>
  </si>
  <si>
    <t xml:space="preserve">SEO consultant</t>
  </si>
  <si>
    <t xml:space="preserve">Contract</t>
  </si>
  <si>
    <t xml:space="preserve">Contract: annual contract value, no benefits load.</t>
  </si>
  <si>
    <t xml:space="preserve">Total current team</t>
  </si>
  <si>
    <t xml:space="preserve">Planned hires: add a row per role, set the start month (1-24)</t>
  </si>
  <si>
    <t xml:space="preserve">Start month</t>
  </si>
  <si>
    <t xml:space="preserve">Annual run-rate ($k)</t>
  </si>
  <si>
    <t xml:space="preserve">Finance &amp; Business Planning</t>
  </si>
  <si>
    <t xml:space="preserve">Example row: the role you're applying for.</t>
  </si>
  <si>
    <t xml:space="preserve">Total planned hires</t>
  </si>
  <si>
    <t xml:space="preserve">Load factor for FTEs (payroll taxes, health, 401k)</t>
  </si>
  <si>
    <t xml:space="preserve">Salaries are estimates for a San Francisco AI lab in 2026; replace with real bands if you learn them. Grey-shaded cells are inputs.</t>
  </si>
  <si>
    <t xml:space="preserve">Unit economics: what one token and one decision cost vs. earn</t>
  </si>
  <si>
    <t xml:space="preserve">All cells are formulas off Assumptions and Prices. Change the dropdowns on Assumptions to switch GPU, precision, workload and LLM.</t>
  </si>
  <si>
    <t xml:space="preserve">Line item</t>
  </si>
  <si>
    <t xml:space="preserve">How it's calculated</t>
  </si>
  <si>
    <t xml:space="preserve">1. Cost to serve</t>
  </si>
  <si>
    <t xml:space="preserve">Serving setup selected</t>
  </si>
  <si>
    <t xml:space="preserve">From Assumptions dropdowns</t>
  </si>
  <si>
    <t xml:space="preserve">FLOPs per input token</t>
  </si>
  <si>
    <t xml:space="preserve">FLOPs</t>
  </si>
  <si>
    <t xml:space="preserve">2 x parameters (one forward pass, no generation loop)</t>
  </si>
  <si>
    <t xml:space="preserve">Effective FLOP/s per GPU</t>
  </si>
  <si>
    <t xml:space="preserve">FLOP / s</t>
  </si>
  <si>
    <t xml:space="preserve">Dense peak x MFU</t>
  </si>
  <si>
    <t xml:space="preserve">Tokens per second per GPU (when busy)</t>
  </si>
  <si>
    <t xml:space="preserve">tokens / s</t>
  </si>
  <si>
    <t xml:space="preserve">Effective FLOP/s / FLOPs per token / overhead</t>
  </si>
  <si>
    <t xml:space="preserve">Tokens per GPU-hour (when busy)</t>
  </si>
  <si>
    <t xml:space="preserve">Cost per M tokens at 100% utilization</t>
  </si>
  <si>
    <t xml:space="preserve">GPU rate / M tokens per hour x share of billed tokens that is real compute</t>
  </si>
  <si>
    <t xml:space="preserve">Cost per M tokens at fleet utilization</t>
  </si>
  <si>
    <t xml:space="preserve">Idle hours still get paid for</t>
  </si>
  <si>
    <t xml:space="preserve">2. Price vs. cost</t>
  </si>
  <si>
    <t xml:space="preserve">List price</t>
  </si>
  <si>
    <t xml:space="preserve">Linked</t>
  </si>
  <si>
    <t xml:space="preserve">Revenue leakage (gateway + payment fees)</t>
  </si>
  <si>
    <t xml:space="preserve">Gateway share x fee + direct share x processing fee</t>
  </si>
  <si>
    <t xml:space="preserve">Net price received</t>
  </si>
  <si>
    <t xml:space="preserve">What TypeSafe keeps</t>
  </si>
  <si>
    <t xml:space="preserve">Gross profit per M tokens</t>
  </si>
  <si>
    <t xml:space="preserve">Net price - cost</t>
  </si>
  <si>
    <t xml:space="preserve">Gross margin (selected precision)</t>
  </si>
  <si>
    <t xml:space="preserve">Gross margin if served in BF16</t>
  </si>
  <si>
    <t xml:space="preserve">Same setup, BF16 throughput</t>
  </si>
  <si>
    <t xml:space="preserve">Gross margin if served in FP8</t>
  </si>
  <si>
    <t xml:space="preserve">Same setup, FP8 throughput</t>
  </si>
  <si>
    <t xml:space="preserve">Net revenue per GPU-hour, fully busy</t>
  </si>
  <si>
    <t xml:space="preserve">Ceiling on what one GPU can earn</t>
  </si>
  <si>
    <t xml:space="preserve">Net revenue per paid GPU-hour at fleet utilization</t>
  </si>
  <si>
    <t xml:space="preserve">Compare with the GPU rate</t>
  </si>
  <si>
    <t xml:space="preserve">Break-even model size at this utilization</t>
  </si>
  <si>
    <t xml:space="preserve">Largest model that still covers compute at list price</t>
  </si>
  <si>
    <t xml:space="preserve">Break-even utilization at this model size</t>
  </si>
  <si>
    <t xml:space="preserve">Above 100% = can't break even at any utilization</t>
  </si>
  <si>
    <t xml:space="preserve">3. Per decision</t>
  </si>
  <si>
    <t xml:space="preserve">Tokens per decision implied by Doom demo</t>
  </si>
  <si>
    <t xml:space="preserve">$7/hr / 36,000 queries / price per token</t>
  </si>
  <si>
    <t xml:space="preserve">Tokens per decision, sample finance workloads</t>
  </si>
  <si>
    <t xml:space="preserve">Average of six workloads counted offline (LiveTest)</t>
  </si>
  <si>
    <t xml:space="preserve">Tokens per decision used</t>
  </si>
  <si>
    <t xml:space="preserve">Jev list price per decision</t>
  </si>
  <si>
    <t xml:space="preserve">Jev cost to serve per decision</t>
  </si>
  <si>
    <t xml:space="preserve">Decisions per $1 of list revenue</t>
  </si>
  <si>
    <t xml:space="preserve">decisions</t>
  </si>
  <si>
    <t xml:space="preserve">Decisions covered by free signup credit</t>
  </si>
  <si>
    <t xml:space="preserve">4. Customer savings vs. LLMs</t>
  </si>
  <si>
    <t xml:space="preserve">Case 1 model (fast)</t>
  </si>
  <si>
    <t xml:space="preserve">Assumptions dropdown</t>
  </si>
  <si>
    <t xml:space="preserve">Case 1 price per decision</t>
  </si>
  <si>
    <t xml:space="preserve">Input incl. format instructions + output + reasoning tokens</t>
  </si>
  <si>
    <t xml:space="preserve">Case 1: LLM price / Jev price</t>
  </si>
  <si>
    <t xml:space="preserve">Customer's savings multiple</t>
  </si>
  <si>
    <t xml:space="preserve">Case 2 model (reasoning)</t>
  </si>
  <si>
    <t xml:space="preserve">Case 2 price per decision</t>
  </si>
  <si>
    <t xml:space="preserve">Reasoning tokens usually dominate the bill</t>
  </si>
  <si>
    <t xml:space="preserve">Case 2: LLM price / Jev price</t>
  </si>
  <si>
    <t xml:space="preserve">Compare with TypeSafe's claimed 444x on its workflow evals</t>
  </si>
  <si>
    <t xml:space="preserve">5. Capacity commitment test</t>
  </si>
  <si>
    <t xml:space="preserve">Utilization needed for reserved capacity to beat on-demand</t>
  </si>
  <si>
    <t xml:space="preserve">Reserve only if reserved GPUs will be busier than this; same provider tier</t>
  </si>
  <si>
    <t xml:space="preserve">Sensitivity: when does the price cover compute?</t>
  </si>
  <si>
    <t xml:space="preserve">Grids follow the GPU, precision and other inputs selected on Assumptions. Red = selling below cost.</t>
  </si>
  <si>
    <t xml:space="preserve">Table 1. Gross margin by model size (rows, B params) and fleet utilization (columns)</t>
  </si>
  <si>
    <t xml:space="preserve">Params (B) \ Util</t>
  </si>
  <si>
    <t xml:space="preserve">Table 2. Gross margin by GPU (rows) and precision (columns), at selected model size and utilization</t>
  </si>
  <si>
    <t xml:space="preserve">GPU \ Precision</t>
  </si>
  <si>
    <t xml:space="preserve">FP8</t>
  </si>
  <si>
    <t xml:space="preserve">H200</t>
  </si>
  <si>
    <t xml:space="preserve">B200</t>
  </si>
  <si>
    <t xml:space="preserve">B300</t>
  </si>
  <si>
    <t xml:space="preserve">Table 3. Cost to serve ($ per M tokens) by GPU rate (rows) and model size (columns), selected GPU and precision</t>
  </si>
  <si>
    <t xml:space="preserve">GPU $/hr \ Params (B)</t>
  </si>
  <si>
    <t xml:space="preserve">The Jevons test: how much volume makes the business work?</t>
  </si>
  <si>
    <t xml:space="preserve">Volume needed for inference gross profit to cover fixed costs (people, research compute, other), by price.</t>
  </si>
  <si>
    <t xml:space="preserve">Fixed costs today</t>
  </si>
  <si>
    <t xml:space="preserve">Payroll, current team ($mm / yr)</t>
  </si>
  <si>
    <t xml:space="preserve">Research compute ($mm / yr)</t>
  </si>
  <si>
    <t xml:space="preserve">Other opex ($mm / yr)</t>
  </si>
  <si>
    <t xml:space="preserve">Total fixed costs ($mm / yr)</t>
  </si>
  <si>
    <t xml:space="preserve">Price scenarios (list price, before leakage)</t>
  </si>
  <si>
    <t xml:space="preserve">Net price after leakage</t>
  </si>
  <si>
    <t xml:space="preserve">Cost to serve ($ / M tokens)</t>
  </si>
  <si>
    <t xml:space="preserve">Gross profit ($ / M tokens)</t>
  </si>
  <si>
    <t xml:space="preserve">Gross margin</t>
  </si>
  <si>
    <t xml:space="preserve">M tokens / yr to cover fixed costs</t>
  </si>
  <si>
    <t xml:space="preserve">Tokens / day needed (trillions)</t>
  </si>
  <si>
    <t xml:space="preserve">Decisions / day needed (millions)</t>
  </si>
  <si>
    <t xml:space="preserve">Serving GPUs needed</t>
  </si>
  <si>
    <t xml:space="preserve">Annual net revenue at break-even ($mm)</t>
  </si>
  <si>
    <t xml:space="preserve">Savings vs. fast LLM (case 1)</t>
  </si>
  <si>
    <t xml:space="preserve">Savings vs. reasoning LLM (case 2)</t>
  </si>
  <si>
    <t xml:space="preserve">Read across: raising the price cuts the volume needed to break even sharply, while savings vs. LLMs stay large.</t>
  </si>
  <si>
    <t xml:space="preserve">24-month cash and runway (illustrative, no new funding)</t>
  </si>
  <si>
    <t xml:space="preserve">Monthly build. Headcount follows the Hiring tab; volume grows and cost per token falls per Assumptions.</t>
  </si>
  <si>
    <t xml:space="preserve">Month</t>
  </si>
  <si>
    <t xml:space="preserve">Headcount</t>
  </si>
  <si>
    <t xml:space="preserve">Payroll ($mm)</t>
  </si>
  <si>
    <t xml:space="preserve">Research compute ($mm)</t>
  </si>
  <si>
    <t xml:space="preserve">Other opex ($mm)</t>
  </si>
  <si>
    <t xml:space="preserve">Free credits, at compute cost ($mm)</t>
  </si>
  <si>
    <t xml:space="preserve">Billed tokens / day (B)</t>
  </si>
  <si>
    <t xml:space="preserve">Decisions / day (mm)</t>
  </si>
  <si>
    <t xml:space="preserve">Tokens served (M tokens / month)</t>
  </si>
  <si>
    <t xml:space="preserve">Gross revenue ($mm)</t>
  </si>
  <si>
    <t xml:space="preserve">Gateway and payment fees ($mm)</t>
  </si>
  <si>
    <t xml:space="preserve">Net revenue ($mm)</t>
  </si>
  <si>
    <t xml:space="preserve">Cost of serving ($mm)</t>
  </si>
  <si>
    <t xml:space="preserve">Gross profit ($mm)</t>
  </si>
  <si>
    <t xml:space="preserve">Net burn ($mm)</t>
  </si>
  <si>
    <t xml:space="preserve">Cumulative burn ($mm)</t>
  </si>
  <si>
    <t xml:space="preserve">Cash, end of month, base case ($mm)</t>
  </si>
  <si>
    <t xml:space="preserve">Gross profit positive? (1 = yes)</t>
  </si>
  <si>
    <t xml:space="preserve">Funded? low cash case</t>
  </si>
  <si>
    <t xml:space="preserve">Funded? base cash case</t>
  </si>
  <si>
    <t xml:space="preserve">Funded? high cash case</t>
  </si>
  <si>
    <t xml:space="preserve">Payroll, current team only ($mm)</t>
  </si>
  <si>
    <t xml:space="preserve">Net burn without planned hires ($mm)</t>
  </si>
  <si>
    <t xml:space="preserve">Cumulative burn without planned hires ($mm)</t>
  </si>
  <si>
    <t xml:space="preserve">Funded? base cash, no planned hires</t>
  </si>
  <si>
    <t xml:space="preserve">Summary (24 = funded for at least the full 24 months)</t>
  </si>
  <si>
    <t xml:space="preserve">Runway, low cash case (months)</t>
  </si>
  <si>
    <t xml:space="preserve">Runway, base cash case (months)</t>
  </si>
  <si>
    <t xml:space="preserve">Runway, high cash case (months)</t>
  </si>
  <si>
    <t xml:space="preserve">Runway, base cash, without planned hires (months)</t>
  </si>
  <si>
    <t xml:space="preserve">Runway used up by planned hires (months)</t>
  </si>
  <si>
    <t xml:space="preserve">First month gross profit turns positive</t>
  </si>
  <si>
    <t xml:space="preserve">Cumulative gross profit, 24 months ($mm)</t>
  </si>
  <si>
    <t xml:space="preserve">Live test: measure real tokens, cost, latency and agreement</t>
  </si>
  <si>
    <t xml:space="preserve">Section 1 is already measured. Section 2 fills in when you run jev_live_test.py with your own API keys and paste the CSV rows.</t>
  </si>
  <si>
    <t xml:space="preserve">Live results below are from the Sep 29 2026 run (Claude Haiku 4.5 and GPT-5.6 Terra via OpenRouter). To re-run, see the header of jev_live_test.py. Keys stay in your terminal as environment variables; nothing is stored in this workbook.</t>
  </si>
  <si>
    <t xml:space="preserve">1. Sample workloads, counted offline</t>
  </si>
  <si>
    <t xml:space="preserve">Workload</t>
  </si>
  <si>
    <t xml:space="preserve">Questions</t>
  </si>
  <si>
    <t xml:space="preserve">State tokens</t>
  </si>
  <si>
    <t xml:space="preserve">Question tokens</t>
  </si>
  <si>
    <t xml:space="preserve">Total input tokens</t>
  </si>
  <si>
    <t xml:space="preserve">What it represents</t>
  </si>
  <si>
    <t xml:space="preserve">GL transaction coding</t>
  </si>
  <si>
    <t xml:space="preserve">Assign a bank transaction to a general-ledger account, with recent coding history for the same vendor as context.</t>
  </si>
  <si>
    <t xml:space="preserve">Vendor invoice approval check</t>
  </si>
  <si>
    <t xml:space="preserve">Decide whether an incoming invoice can be auto-approved against the purchase order and contract terms.</t>
  </si>
  <si>
    <t xml:space="preserve">Support ticket routing</t>
  </si>
  <si>
    <t xml:space="preserve">Route an inbound customer email to the right queue and set priority.</t>
  </si>
  <si>
    <t xml:space="preserve">Expense report policy check</t>
  </si>
  <si>
    <t xml:space="preserve">Check an employee expense report against the travel and expense policy.</t>
  </si>
  <si>
    <t xml:space="preserve">Contract clause risk scoring</t>
  </si>
  <si>
    <t xml:space="preserve">Score the risk of a customer contract's liability and indemnity clauses for a sales-ops review queue.</t>
  </si>
  <si>
    <t xml:space="preserve">Inbound lead qualification</t>
  </si>
  <si>
    <t xml:space="preserve">Score a self-serve signup for sales follow-up.</t>
  </si>
  <si>
    <t xml:space="preserve">Average</t>
  </si>
  <si>
    <t xml:space="preserve">Counted with OpenAI's o200k tokenizer as a proxy; Jev's tokenizer is not public, so expect +/- 20%. Total = the full request body (state + questions + model name).</t>
  </si>
  <si>
    <t xml:space="preserve">2. Live results: paste jev_live_results.csv here (row 18 onward, one row per workload per LLM run)</t>
  </si>
  <si>
    <t xml:space="preserve">workload</t>
  </si>
  <si>
    <t xml:space="preserve">questions</t>
  </si>
  <si>
    <t xml:space="preserve">jev_input_tokens</t>
  </si>
  <si>
    <t xml:space="preserve">jev_output_tokens</t>
  </si>
  <si>
    <t xml:space="preserve">jev_median_latency_ms</t>
  </si>
  <si>
    <t xml:space="preserve">jev_cost_usd</t>
  </si>
  <si>
    <t xml:space="preserve">llm_model</t>
  </si>
  <si>
    <t xml:space="preserve">llm_input_tokens</t>
  </si>
  <si>
    <t xml:space="preserve">llm_output_tokens</t>
  </si>
  <si>
    <t xml:space="preserve">llm_reasoning_tokens</t>
  </si>
  <si>
    <t xml:space="preserve">llm_median_latency_ms</t>
  </si>
  <si>
    <t xml:space="preserve">llm_cost_usd</t>
  </si>
  <si>
    <t xml:space="preserve">llm_valid_json</t>
  </si>
  <si>
    <t xml:space="preserve">agreement</t>
  </si>
  <si>
    <t xml:space="preserve">jev_answers</t>
  </si>
  <si>
    <t xml:space="preserve">llm_answers</t>
  </si>
  <si>
    <t xml:space="preserve">anthropic/claude-haiku-4.5</t>
  </si>
  <si>
    <t xml:space="preserve">{"gl_account": "5110", "needs_review": 0.89}</t>
  </si>
  <si>
    <t xml:space="preserve">{"gl_account": "5110", "needs_review": 0.72}</t>
  </si>
  <si>
    <t xml:space="preserve">{"auto_approve": 0.05, "primary_issue": "bank_change", "fraud_risk": 3.06}</t>
  </si>
  <si>
    <t xml:space="preserve">{"auto_approve": 0.0, "primary_issue": "bank_change", "fraud_risk": 2}</t>
  </si>
  <si>
    <t xml:space="preserve">{"queue": "tech_support_p1", "priority": 3.17, "churn_signal": 0.97}</t>
  </si>
  <si>
    <t xml:space="preserve">{"queue": "account_mgmt", "priority": 3, "churn_signal": 0.92}</t>
  </si>
  <si>
    <t xml:space="preserve">{"compliant": 0.05, "worst_violation": "other_purchase"}</t>
  </si>
  <si>
    <t xml:space="preserve">{"compliant": 0.15, "worst_violation": "other_purchase"}</t>
  </si>
  <si>
    <t xml:space="preserve">{"overall_risk": 3.5, "worst_clause": "indemnification", "revenue_recognition_flag": 0.6}</t>
  </si>
  <si>
    <t xml:space="preserve">{"overall_risk": 3, "worst_clause": "indemnification", "revenue_recognition_flag": 0.72}</t>
  </si>
  <si>
    <t xml:space="preserve">{"fit": 3.3, "contact_now": 0.76}</t>
  </si>
  <si>
    <t xml:space="preserve">{"fit": 3, "contact_now": 0.68}</t>
  </si>
  <si>
    <t xml:space="preserve">openai/gpt-5.6-terra</t>
  </si>
  <si>
    <t xml:space="preserve">{"gl_account": "5110", "needs_review": 0.98}</t>
  </si>
  <si>
    <t xml:space="preserve">{"auto_approve": 0.05, "primary_issue": "bank_change", "fraud_risk": 3.07}</t>
  </si>
  <si>
    <t xml:space="preserve">{"auto_approve": 0.0, "primary_issue": "bank_change", "fraud_risk": 3}</t>
  </si>
  <si>
    <t xml:space="preserve">{"queue": "tech_support_p1", "priority": 3.13, "churn_signal": 0.97}</t>
  </si>
  <si>
    <t xml:space="preserve">{"queue": "tech_support_p1", "priority": 3, "churn_signal": 0.99}</t>
  </si>
  <si>
    <t xml:space="preserve">{"compliant": 0.06, "worst_violation": "other_purchase"}</t>
  </si>
  <si>
    <t xml:space="preserve">{"compliant": 0.01, "worst_violation": "airfare"}</t>
  </si>
  <si>
    <t xml:space="preserve">{"overall_risk": 3.44, "worst_clause": "indemnification", "revenue_recognition_flag": 0.56}</t>
  </si>
  <si>
    <t xml:space="preserve">{"overall_risk": 4, "worst_clause": "indemnification", "revenue_recognition_flag": 0.89}</t>
  </si>
  <si>
    <t xml:space="preserve">{"fit": 3.17, "contact_now": 0.74}</t>
  </si>
  <si>
    <t xml:space="preserve">{"fit": 4, "contact_now": 0.96}</t>
  </si>
  <si>
    <t xml:space="preserve">Live summary</t>
  </si>
  <si>
    <t xml:space="preserve">All runs</t>
  </si>
  <si>
    <t xml:space="preserve">Avg Jev billed input tokens per decision</t>
  </si>
  <si>
    <t xml:space="preserve">Billed tokens / offline count</t>
  </si>
  <si>
    <t xml:space="preserve">Fixed tokens billed per call (fitted intercept)</t>
  </si>
  <si>
    <t xml:space="preserve">Billed tokens per offline token (fitted slope)</t>
  </si>
  <si>
    <t xml:space="preserve">Median Jev latency (ms)</t>
  </si>
  <si>
    <t xml:space="preserve">Jev cost per decision at list price ($)</t>
  </si>
  <si>
    <t xml:space="preserve">LLM input tokens per decision</t>
  </si>
  <si>
    <t xml:space="preserve">LLM output tokens incl. reasoning</t>
  </si>
  <si>
    <t xml:space="preserve">  of which reasoning tokens</t>
  </si>
  <si>
    <t xml:space="preserve">LLM latency (ms; all = median, per model = average of medians)</t>
  </si>
  <si>
    <t xml:space="preserve">LLM cost per decision, as billed ($)</t>
  </si>
  <si>
    <t xml:space="preserve">LLM cost / Jev cost</t>
  </si>
  <si>
    <t xml:space="preserve">Decision agreement, Jev vs. LLM (choice and yes/no only)</t>
  </si>
  <si>
    <t xml:space="preserve">Per-model columns match on the llm_model column. Intercept and slope fit billed tokens (first six rows; Jev's counts were identical across runs) against the offline counts in section 1. Six points: treat as a rough estimate.</t>
  </si>
  <si>
    <t xml:space="preserve">Jev cost is billed tokens x $0.042/M list price (Jev's API doesn't return a cost). LLM costs are what OpenRouter actually charged.</t>
  </si>
  <si>
    <t xml:space="preserve">Price and spec tables behind the dropdowns</t>
  </si>
  <si>
    <t xml:space="preserve">Edit these blue cells to update every tab. GPU rates as of Sep 2026; LLM list prices as of Sep 23 2026.</t>
  </si>
  <si>
    <t xml:space="preserve">GPU</t>
  </si>
  <si>
    <t xml:space="preserve">Committed $/hr (est.)</t>
  </si>
  <si>
    <t xml:space="preserve">On-demand, same tier $/hr (est.)</t>
  </si>
  <si>
    <t xml:space="preserve">Market avg on-demand $/hr</t>
  </si>
  <si>
    <t xml:space="preserve">Cheapest on-demand $/hr</t>
  </si>
  <si>
    <t xml:space="preserve">BF16 dense TFLOPS</t>
  </si>
  <si>
    <t xml:space="preserve">FP8 dense TFLOPS</t>
  </si>
  <si>
    <t xml:space="preserve">Memory (GB)</t>
  </si>
  <si>
    <t xml:space="preserve">Reasoning</t>
  </si>
  <si>
    <t xml:space="preserve">The price-performance workhorse: mature software, abundant supply, falling rates. Committed estimate sits below the $3.84 market average; neocloud on-demand clusters around $2.70-$3.20.</t>
  </si>
  <si>
    <t xml:space="preserve">Same compute as H100, so no faster per token; the extra memory helps with long contexts and bigger batches. Only worth it if memory is the bottleneck.</t>
  </si>
  <si>
    <t xml:space="preserve">About 2.3x H100 compute for about 1.6x the price, so usually the cheapest per token if capacity is available. Neocloud on-demand around $4.99.</t>
  </si>
  <si>
    <t xml:space="preserve">n/a</t>
  </si>
  <si>
    <t xml:space="preserve">Gains over B200 are mainly FP4 and memory; no BF16/FP8 speedup assumed here. Only a single market listing is available as a reference.</t>
  </si>
  <si>
    <t xml:space="preserve">Committed and same-tier on-demand rates are estimates. Market average and cheapest listings: Mercatus GPU Index (Sep 13 2026) and a 28-cloud price snapshot (Sep 2026). Dense TFLOPS = half the sparse figures on NVIDIA datasheets.</t>
  </si>
  <si>
    <t xml:space="preserve">Comparable LLMs</t>
  </si>
  <si>
    <t xml:space="preserve">Model</t>
  </si>
  <si>
    <t xml:space="preserve">Input $/M tokens</t>
  </si>
  <si>
    <t xml:space="preserve">Output $/M tokens</t>
  </si>
  <si>
    <t xml:space="preserve">Visible output tokens / decision (est.)</t>
  </si>
  <si>
    <t xml:space="preserve">Reasoning tokens / decision (est.)</t>
  </si>
  <si>
    <t xml:space="preserve">Fast</t>
  </si>
  <si>
    <t xml:space="preserve">Fast, low-cost tier. MEASURED 371 visible output tokens: in the live test it ignored the JSON-only instruction and explained its answers. Prompt-dependent; a stricter prompt would likely cut this and its cost by 2-3x.</t>
  </si>
  <si>
    <t xml:space="preserve">Gemini 3.8 Flash</t>
  </si>
  <si>
    <t xml:space="preserve">Low-cost tier; list price doubles Jan 1 2027.</t>
  </si>
  <si>
    <t xml:space="preserve">GPT-6 Luna</t>
  </si>
  <si>
    <t xml:space="preserve">Cheapest frontier-lab tier; the hardest price for Jev to beat on cost alone.</t>
  </si>
  <si>
    <t xml:space="preserve">DeepSeek V4-Flash</t>
  </si>
  <si>
    <t xml:space="preserve">Off-peak price; peak hours cost double.</t>
  </si>
  <si>
    <t xml:space="preserve">Closest to Jev in intelligence per TypeSafe. MEASURED 43 visible + 78 reasoning tokens on six simple decisions (pre-test guess was 1,000 reasoning). Harder multi-step workflows would use more.</t>
  </si>
  <si>
    <t xml:space="preserve">Claude Sonnet 5</t>
  </si>
  <si>
    <t xml:space="preserve">Mid-tier model with optional extended thinking.</t>
  </si>
  <si>
    <t xml:space="preserve">GPT-6 Astra</t>
  </si>
  <si>
    <t xml:space="preserve">Flagship; one of the two reference models in TypeSafe's workflow evals.</t>
  </si>
  <si>
    <t xml:space="preserve">Claude Fable 5.1</t>
  </si>
  <si>
    <t xml:space="preserve">Flagship; the other reference model in TypeSafe's workflow evals.</t>
  </si>
  <si>
    <t xml:space="preserve">Prices: published list prices compiled by Nadir, Sep 23 2026. Output and reasoning token counts are estimates: replace them with the averages on the LiveTest tab once you've run the live test.</t>
  </si>
  <si>
    <t xml:space="preserve">Sources</t>
  </si>
  <si>
    <t xml:space="preserve">Accessed Sep 29, 2026.</t>
  </si>
  <si>
    <t xml:space="preserve">Data point</t>
  </si>
  <si>
    <t xml:space="preserve">Source</t>
  </si>
  <si>
    <t xml:space="preserve">URL</t>
  </si>
  <si>
    <t xml:space="preserve">Pricing, latency, Doom demo cost, 'can't prove it isn't subsidized'</t>
  </si>
  <si>
    <t xml:space="preserve">TypeSafe launch blog (Sep 15 2026)</t>
  </si>
  <si>
    <t xml:space="preserve">https://typesafe.ai/blog/introducing-system-one-models-and-jev</t>
  </si>
  <si>
    <t xml:space="preserve">API endpoint, request/response schema, usage fields</t>
  </si>
  <si>
    <t xml:space="preserve">TypeSafe API reference</t>
  </si>
  <si>
    <t xml:space="preserve">https://docs.typesafe.ai/api.md</t>
  </si>
  <si>
    <t xml:space="preserve">$40M seed led by DCVC; $200M valuation</t>
  </si>
  <si>
    <t xml:space="preserve">Forbes (Sep 15 2026)</t>
  </si>
  <si>
    <t xml:space="preserve">https://www.forbes.com/sites/the-prompt/2026/09/15/this-200-million-startup-wants-to-fix-ais-overconfidence-problem/</t>
  </si>
  <si>
    <t xml:space="preserve">$0.042 pricing confirmed in press; valuation unconfirmed by company</t>
  </si>
  <si>
    <t xml:space="preserve">WOWTALE</t>
  </si>
  <si>
    <t xml:space="preserve">https://en.wowtale.net/2026/09/21/235190/</t>
  </si>
  <si>
    <t xml:space="preserve">~25 employees</t>
  </si>
  <si>
    <t xml:space="preserve">Signalbase company profile</t>
  </si>
  <si>
    <t xml:space="preserve">https://www.trysignalbase.com/news/funding/typesafe-ai-secures-40</t>
  </si>
  <si>
    <t xml:space="preserve">~13% of Vercel AI Gateway paid teams used Jev in 24h</t>
  </si>
  <si>
    <t xml:space="preserve">RuntimeWire, citing The Information / Vercel</t>
  </si>
  <si>
    <t xml:space="preserve">https://runtimewire.com/article/typesafe-investors-discuss-a-higher-valuation-after-jev-reaches-nearly-13-of-one</t>
  </si>
  <si>
    <t xml:space="preserve">$5 signup credit; Vercel and OpenRouter availability</t>
  </si>
  <si>
    <t xml:space="preserve">Firecrawl</t>
  </si>
  <si>
    <t xml:space="preserve">https://www.firecrawl.dev/blog/what-is-jev</t>
  </si>
  <si>
    <t xml:space="preserve">GPU market averages: H100 $3.84, H200 $4.43, B200 $6.39 (Sep 13 2026)</t>
  </si>
  <si>
    <t xml:space="preserve">Mercatus GPU Index</t>
  </si>
  <si>
    <t xml:space="preserve">https://www.mercatus-ai.com/blog/gpu-rental-prices</t>
  </si>
  <si>
    <t xml:space="preserve">Cheapest on-demand: H100 $1.79, H200 $2.60, B200 $3.69, B300 $4.89</t>
  </si>
  <si>
    <t xml:space="preserve">DEV Community, 28-cloud snapshot (Sep 2026)</t>
  </si>
  <si>
    <t xml:space="preserve">https://dev.to/fastgpu/what-it-costs-to-rent-an-h100-b200-or-rtx-4090-in-september-2026-live-prices-from-28-gpu-clouds-12n3</t>
  </si>
  <si>
    <t xml:space="preserve">Relative GPU throughput and memory (sparse figures halved to dense)</t>
  </si>
  <si>
    <t xml:space="preserve">Exxact: Blackwell vs Hopper</t>
  </si>
  <si>
    <t xml:space="preserve">https://www.exxactcorp.com/blog/hpc/comparing-nvidia-tensor-core-gpus</t>
  </si>
  <si>
    <t xml:space="preserve">LLM list prices (Sep 23 2026)</t>
  </si>
  <si>
    <t xml:space="preserve">Nadir LLM API pricing comparison</t>
  </si>
  <si>
    <t xml:space="preserve">https://getnadir.com/blog/llm-api-pricing-june-2026-complete-comparison/</t>
  </si>
  <si>
    <t xml:space="preserve">Architecture undisclosed; suspected open-weight base</t>
  </si>
  <si>
    <t xml:space="preserve">Wikipedia: Jev (AI model)</t>
  </si>
  <si>
    <t xml:space="preserve">https://en.wikipedia.org/wiki/Jev_(AI_model)</t>
  </si>
</sst>
</file>

<file path=xl/styles.xml><?xml version="1.0" encoding="utf-8"?>
<styleSheet xmlns="http://schemas.openxmlformats.org/spreadsheetml/2006/main">
  <numFmts count="18">
    <numFmt numFmtId="164" formatCode="General"/>
    <numFmt numFmtId="165" formatCode="\$#,##0.0000;&quot;($&quot;#,##0.0000\);\-"/>
    <numFmt numFmtId="166" formatCode="0%;[RED]\(0%\);\-"/>
    <numFmt numFmtId="167" formatCode="#,##0.0;\(#,##0.0\);\-"/>
    <numFmt numFmtId="168" formatCode="\$#,##0.000000;&quot;($&quot;#,##0.000000\);\-"/>
    <numFmt numFmtId="169" formatCode="#,##0.0\x"/>
    <numFmt numFmtId="170" formatCode="0.0%;\(0.0%\);\-"/>
    <numFmt numFmtId="171" formatCode="#,##0;\(#,##0\);\-"/>
    <numFmt numFmtId="172" formatCode="\$#,##0.00;&quot;($&quot;#,##0.00\);\-"/>
    <numFmt numFmtId="173" formatCode="\$#,##0;&quot;($&quot;#,##0\);\-"/>
    <numFmt numFmtId="174" formatCode="\$#,##0.0;&quot;($&quot;#,##0.0\);\-"/>
    <numFmt numFmtId="175" formatCode="0.00\x;\(0.00&quot;x)&quot;;\-"/>
    <numFmt numFmtId="176" formatCode="0"/>
    <numFmt numFmtId="177" formatCode="0.00\x"/>
    <numFmt numFmtId="178" formatCode="0.00E+00"/>
    <numFmt numFmtId="179" formatCode="#,##0.00"/>
    <numFmt numFmtId="180" formatCode="\M0"/>
    <numFmt numFmtId="181"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b val="true"/>
      <sz val="10"/>
      <name val="Arial"/>
      <family val="0"/>
      <charset val="1"/>
    </font>
    <font>
      <sz val="10"/>
      <color rgb="FF0000FF"/>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E8EEF5"/>
        <bgColor rgb="FFF3F6FA"/>
      </patternFill>
    </fill>
    <fill>
      <patternFill patternType="solid">
        <fgColor rgb="FFFFFF00"/>
        <bgColor rgb="FFFFFF00"/>
      </patternFill>
    </fill>
    <fill>
      <patternFill patternType="solid">
        <fgColor rgb="FFF3F6FA"/>
        <bgColor rgb="FFE8EEF5"/>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8" fontId="8"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70" fontId="8" fillId="0" borderId="0" xfId="0" applyFont="true" applyBorder="false" applyAlignment="true" applyProtection="false">
      <alignment horizontal="right" vertical="bottom" textRotation="0" wrapText="false" indent="0" shrinkToFit="false"/>
      <protection locked="true" hidden="false"/>
    </xf>
    <xf numFmtId="171" fontId="8"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0" fontId="10" fillId="4"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3" fontId="10" fillId="4"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1" fontId="10" fillId="4"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71" fontId="10" fillId="5" borderId="0" xfId="0" applyFont="true" applyBorder="false" applyAlignment="false" applyProtection="false">
      <alignment horizontal="general" vertical="bottom" textRotation="0" wrapText="false" indent="0" shrinkToFit="false"/>
      <protection locked="true" hidden="false"/>
    </xf>
    <xf numFmtId="173" fontId="10" fillId="5"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6" fontId="10" fillId="5" borderId="0" xfId="0" applyFont="true" applyBorder="false" applyAlignment="false" applyProtection="false">
      <alignment horizontal="general" vertical="bottom" textRotation="0" wrapText="false" indent="0" shrinkToFit="false"/>
      <protection locked="true" hidden="false"/>
    </xf>
    <xf numFmtId="177" fontId="10" fillId="4" borderId="0" xfId="0" applyFont="true" applyBorder="false" applyAlignment="false" applyProtection="false">
      <alignment horizontal="general" vertical="bottom" textRotation="0" wrapText="false" indent="0" shrinkToFit="false"/>
      <protection locked="true" hidden="false"/>
    </xf>
    <xf numFmtId="178"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9" fontId="7" fillId="0" borderId="0" xfId="0" applyFont="true" applyBorder="false" applyAlignment="false" applyProtection="false">
      <alignment horizontal="general" vertical="bottom" textRotation="0" wrapText="false" indent="0" shrinkToFit="false"/>
      <protection locked="true" hidden="false"/>
    </xf>
    <xf numFmtId="180" fontId="9"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81" fontId="10" fillId="5" borderId="0" xfId="0" applyFont="true" applyBorder="false" applyAlignment="false" applyProtection="false">
      <alignment horizontal="general" vertical="bottom" textRotation="0" wrapText="false" indent="0" shrinkToFit="false"/>
      <protection locked="true" hidden="false"/>
    </xf>
    <xf numFmtId="17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6FA"/>
      <rgbColor rgb="FFE8EE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44"/>
    <col collapsed="false" customWidth="true" hidden="false" outlineLevel="0" max="3" min="3" style="0" width="2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str">
        <f aca="false">UnitEcon!$B$6</f>
        <v>H100 SXM, BF16, 8B params</v>
      </c>
      <c r="C5" s="4" t="s">
        <v>6</v>
      </c>
    </row>
    <row r="6" customFormat="false" ht="15" hidden="false" customHeight="false" outlineLevel="0" collapsed="false">
      <c r="A6" s="4" t="s">
        <v>7</v>
      </c>
      <c r="B6" s="6" t="n">
        <f aca="false">Assumptions!$B$6</f>
        <v>0.042</v>
      </c>
      <c r="C6" s="4" t="s">
        <v>8</v>
      </c>
    </row>
    <row r="7" customFormat="false" ht="15" hidden="false" customHeight="false" outlineLevel="0" collapsed="false">
      <c r="A7" s="4" t="s">
        <v>9</v>
      </c>
      <c r="B7" s="6" t="n">
        <f aca="false">UnitEcon!$B$12</f>
        <v>0.056173463655769</v>
      </c>
      <c r="C7" s="4" t="s">
        <v>10</v>
      </c>
    </row>
    <row r="8" customFormat="false" ht="15" hidden="false" customHeight="false" outlineLevel="0" collapsed="false">
      <c r="A8" s="4" t="s">
        <v>11</v>
      </c>
      <c r="B8" s="7" t="n">
        <f aca="false">UnitEcon!$B$19</f>
        <v>-0.390294615774899</v>
      </c>
      <c r="C8" s="4" t="s">
        <v>10</v>
      </c>
    </row>
    <row r="9" customFormat="false" ht="15" hidden="false" customHeight="false" outlineLevel="0" collapsed="false">
      <c r="A9" s="4" t="s">
        <v>12</v>
      </c>
      <c r="B9" s="7" t="n">
        <f aca="false">UnitEcon!$B$20</f>
        <v>0.305203954016486</v>
      </c>
      <c r="C9" s="4" t="s">
        <v>10</v>
      </c>
    </row>
    <row r="10" customFormat="false" ht="15" hidden="false" customHeight="false" outlineLevel="0" collapsed="false">
      <c r="A10" s="4" t="s">
        <v>13</v>
      </c>
      <c r="B10" s="8" t="n">
        <f aca="false">UnitEcon!$B$23</f>
        <v>5.754176064</v>
      </c>
      <c r="C10" s="4" t="s">
        <v>10</v>
      </c>
    </row>
    <row r="11" customFormat="false" ht="15" hidden="false" customHeight="false" outlineLevel="0" collapsed="false">
      <c r="A11" s="4" t="s">
        <v>14</v>
      </c>
      <c r="B11" s="5" t="str">
        <f aca="false">TEXT(UnitEcon!$B$26,"#,##0")&amp;" vs. "&amp;TEXT(UnitEcon!$B$27,"#,##0")</f>
        <v>4,630 vs. 453</v>
      </c>
      <c r="C11" s="4" t="s">
        <v>15</v>
      </c>
    </row>
    <row r="12" customFormat="false" ht="15" hidden="false" customHeight="false" outlineLevel="0" collapsed="false">
      <c r="A12" s="4" t="s">
        <v>16</v>
      </c>
      <c r="B12" s="9" t="n">
        <f aca="false">UnitEcon!$B$29</f>
        <v>3.8353E-005</v>
      </c>
      <c r="C12" s="4" t="s">
        <v>10</v>
      </c>
    </row>
    <row r="13" customFormat="false" ht="15" hidden="false" customHeight="false" outlineLevel="0" collapsed="false">
      <c r="A13" s="4" t="s">
        <v>17</v>
      </c>
      <c r="B13" s="10" t="n">
        <f aca="false">UnitEcon!$B$36</f>
        <v>67.8999469837214</v>
      </c>
      <c r="C13" s="4" t="s">
        <v>10</v>
      </c>
    </row>
    <row r="14" customFormat="false" ht="15" hidden="false" customHeight="false" outlineLevel="0" collapsed="false">
      <c r="A14" s="4" t="s">
        <v>18</v>
      </c>
      <c r="B14" s="10" t="n">
        <f aca="false">UnitEcon!$B$39</f>
        <v>76.9257511363735</v>
      </c>
      <c r="C14" s="4" t="s">
        <v>10</v>
      </c>
    </row>
    <row r="15" customFormat="false" ht="15" hidden="false" customHeight="false" outlineLevel="0" collapsed="false">
      <c r="A15" s="4" t="s">
        <v>19</v>
      </c>
      <c r="B15" s="11" t="n">
        <f aca="false">UnitEcon!$B$41</f>
        <v>0.833333333333333</v>
      </c>
      <c r="C15" s="4" t="s">
        <v>10</v>
      </c>
    </row>
    <row r="16" customFormat="false" ht="15" hidden="false" customHeight="false" outlineLevel="0" collapsed="false">
      <c r="A16" s="4" t="s">
        <v>20</v>
      </c>
      <c r="B16" s="5" t="str">
        <f aca="false">Runway!B33&amp;" / "&amp;Runway!B34&amp;" / "&amp;Runway!B35</f>
        <v>13 / 22 / 24</v>
      </c>
      <c r="C16" s="4" t="s">
        <v>21</v>
      </c>
    </row>
    <row r="17" customFormat="false" ht="15" hidden="false" customHeight="false" outlineLevel="0" collapsed="false">
      <c r="A17" s="4" t="s">
        <v>22</v>
      </c>
      <c r="B17" s="5" t="str">
        <f aca="false">Hiring!B13</f>
        <v>YES: runway stays at or above target</v>
      </c>
      <c r="C17" s="4" t="s">
        <v>23</v>
      </c>
    </row>
    <row r="18" customFormat="false" ht="15" hidden="false" customHeight="false" outlineLevel="0" collapsed="false">
      <c r="A18" s="4" t="s">
        <v>24</v>
      </c>
      <c r="B18" s="12" t="n">
        <f aca="false">LiveTest!B32</f>
        <v>913.166666666667</v>
      </c>
      <c r="C18" s="4" t="s">
        <v>25</v>
      </c>
    </row>
    <row r="19" customFormat="false" ht="15" hidden="false" customHeight="false" outlineLevel="0" collapsed="false">
      <c r="A19" s="4" t="s">
        <v>26</v>
      </c>
      <c r="B19" s="5" t="str">
        <f aca="false">TEXT(LiveTest!B34,"#,##0")&amp;" + "&amp;TEXT(LiveTest!B35,"0.0")&amp;"x"</f>
        <v>179 + 1.6x</v>
      </c>
      <c r="C19" s="4" t="s">
        <v>27</v>
      </c>
    </row>
    <row r="20" customFormat="false" ht="15" hidden="false" customHeight="false" outlineLevel="0" collapsed="false">
      <c r="A20" s="4" t="s">
        <v>28</v>
      </c>
      <c r="B20" s="5" t="str">
        <f aca="false">TEXT(LiveTest!C43,"0")&amp;"x / "&amp;TEXT(LiveTest!D43,"0")&amp;"x"</f>
        <v>69x / 65x</v>
      </c>
      <c r="C20" s="4" t="s">
        <v>29</v>
      </c>
    </row>
    <row r="21" customFormat="false" ht="15" hidden="false" customHeight="false" outlineLevel="0" collapsed="false">
      <c r="A21" s="4" t="s">
        <v>30</v>
      </c>
      <c r="B21" s="5" t="str">
        <f aca="false">TEXT(LiveTest!B36,"#,##0")&amp;" vs. "&amp;TEXT(LiveTest!C41,"#,##0")&amp;" / "&amp;TEXT(LiveTest!D41,"#,##0")</f>
        <v>261 vs. 4,588 / 2,984</v>
      </c>
      <c r="C21" s="4" t="s">
        <v>29</v>
      </c>
    </row>
    <row r="22" customFormat="false" ht="15" hidden="false" customHeight="false" outlineLevel="0" collapsed="false">
      <c r="A22" s="4" t="s">
        <v>31</v>
      </c>
      <c r="B22" s="5" t="str">
        <f aca="false">TEXT(LiveTest!C44,"0%")&amp;" / "&amp;TEXT(LiveTest!D44,"0%")</f>
        <v>92% / 92%</v>
      </c>
      <c r="C22" s="4" t="s">
        <v>32</v>
      </c>
    </row>
    <row r="25" customFormat="false" ht="15" hidden="false" customHeight="false" outlineLevel="0" collapsed="false">
      <c r="A25" s="13" t="s">
        <v>33</v>
      </c>
    </row>
    <row r="26" customFormat="false" ht="15" hidden="false" customHeight="false" outlineLevel="0" collapsed="false">
      <c r="A26" s="4" t="s">
        <v>34</v>
      </c>
    </row>
    <row r="27" customFormat="false" ht="15" hidden="false" customHeight="false" outlineLevel="0" collapsed="false">
      <c r="A27" s="4" t="s">
        <v>35</v>
      </c>
    </row>
    <row r="28" customFormat="false" ht="15" hidden="false" customHeight="false" outlineLevel="0" collapsed="false">
      <c r="A28" s="4" t="s">
        <v>36</v>
      </c>
    </row>
    <row r="29" customFormat="false" ht="15" hidden="false" customHeight="false" outlineLevel="0" collapsed="false">
      <c r="A29" s="4" t="s">
        <v>37</v>
      </c>
    </row>
    <row r="30" customFormat="false" ht="15" hidden="false" customHeight="false" outlineLevel="0" collapsed="false">
      <c r="A30" s="4" t="s">
        <v>38</v>
      </c>
    </row>
    <row r="31" customFormat="false" ht="15" hidden="false" customHeight="false" outlineLevel="0" collapsed="false">
      <c r="A31" s="4" t="s">
        <v>39</v>
      </c>
    </row>
    <row r="32" customFormat="false" ht="15" hidden="false" customHeight="false" outlineLevel="0" collapsed="false">
      <c r="A32" s="4" t="s">
        <v>40</v>
      </c>
    </row>
    <row r="33" customFormat="false" ht="15" hidden="false" customHeight="false" outlineLevel="0" collapsed="false">
      <c r="A33" s="4" t="s">
        <v>41</v>
      </c>
    </row>
    <row r="34" customFormat="false" ht="15" hidden="false" customHeight="false" outlineLevel="0" collapsed="false">
      <c r="A34" s="4" t="s">
        <v>42</v>
      </c>
    </row>
    <row r="36" customFormat="false" ht="15" hidden="false" customHeight="false" outlineLevel="0" collapsed="false">
      <c r="A36" s="2"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8"/>
    <col collapsed="false" customWidth="true" hidden="false" outlineLevel="0" max="3" min="3" style="0" width="16"/>
    <col collapsed="false" customWidth="true" hidden="false" outlineLevel="0" max="4" min="4" style="0" width="20"/>
    <col collapsed="false" customWidth="true" hidden="false" outlineLevel="0" max="5" min="5" style="0" width="100"/>
  </cols>
  <sheetData>
    <row r="1" customFormat="false" ht="17.35" hidden="false" customHeight="false" outlineLevel="0" collapsed="false">
      <c r="A1" s="1" t="s">
        <v>44</v>
      </c>
    </row>
    <row r="2" customFormat="false" ht="15" hidden="false" customHeight="false" outlineLevel="0" collapsed="false">
      <c r="A2" s="2" t="s">
        <v>45</v>
      </c>
    </row>
    <row r="4" customFormat="false" ht="15" hidden="false" customHeight="false" outlineLevel="0" collapsed="false">
      <c r="A4" s="3" t="s">
        <v>46</v>
      </c>
      <c r="B4" s="3" t="s">
        <v>3</v>
      </c>
      <c r="C4" s="3" t="s">
        <v>47</v>
      </c>
      <c r="D4" s="3" t="s">
        <v>48</v>
      </c>
      <c r="E4" s="3" t="s">
        <v>49</v>
      </c>
    </row>
    <row r="5" customFormat="false" ht="15" hidden="false" customHeight="false" outlineLevel="0" collapsed="false">
      <c r="A5" s="14" t="s">
        <v>50</v>
      </c>
      <c r="B5" s="15"/>
      <c r="C5" s="15"/>
      <c r="D5" s="15"/>
      <c r="E5" s="15"/>
    </row>
    <row r="6" customFormat="false" ht="23.85" hidden="false" customHeight="false" outlineLevel="0" collapsed="false">
      <c r="A6" s="4" t="s">
        <v>51</v>
      </c>
      <c r="B6" s="16" t="n">
        <v>0.042</v>
      </c>
      <c r="C6" s="4" t="s">
        <v>52</v>
      </c>
      <c r="D6" s="4" t="s">
        <v>53</v>
      </c>
      <c r="E6" s="17" t="s">
        <v>54</v>
      </c>
    </row>
    <row r="7" customFormat="false" ht="15" hidden="false" customHeight="false" outlineLevel="0" collapsed="false">
      <c r="A7" s="4" t="s">
        <v>55</v>
      </c>
      <c r="B7" s="16" t="n">
        <v>0</v>
      </c>
      <c r="C7" s="4" t="s">
        <v>52</v>
      </c>
      <c r="D7" s="4" t="s">
        <v>53</v>
      </c>
      <c r="E7" s="17" t="s">
        <v>56</v>
      </c>
    </row>
    <row r="8" customFormat="false" ht="15" hidden="false" customHeight="false" outlineLevel="0" collapsed="false">
      <c r="A8" s="4" t="s">
        <v>57</v>
      </c>
      <c r="B8" s="18" t="n">
        <v>7</v>
      </c>
      <c r="C8" s="4" t="s">
        <v>58</v>
      </c>
      <c r="D8" s="4" t="s">
        <v>59</v>
      </c>
      <c r="E8" s="17" t="s">
        <v>60</v>
      </c>
    </row>
    <row r="9" customFormat="false" ht="15" hidden="false" customHeight="false" outlineLevel="0" collapsed="false">
      <c r="A9" s="4" t="s">
        <v>61</v>
      </c>
      <c r="B9" s="19" t="n">
        <v>10</v>
      </c>
      <c r="C9" s="4" t="s">
        <v>62</v>
      </c>
      <c r="D9" s="4" t="s">
        <v>53</v>
      </c>
      <c r="E9" s="17" t="s">
        <v>63</v>
      </c>
    </row>
    <row r="10" customFormat="false" ht="15" hidden="false" customHeight="false" outlineLevel="0" collapsed="false">
      <c r="A10" s="4" t="s">
        <v>64</v>
      </c>
      <c r="B10" s="20" t="n">
        <v>5</v>
      </c>
      <c r="C10" s="4" t="s">
        <v>65</v>
      </c>
      <c r="D10" s="4" t="s">
        <v>66</v>
      </c>
      <c r="E10" s="17" t="s">
        <v>67</v>
      </c>
    </row>
    <row r="11" customFormat="false" ht="15" hidden="false" customHeight="false" outlineLevel="0" collapsed="false">
      <c r="A11" s="14" t="s">
        <v>68</v>
      </c>
      <c r="B11" s="15"/>
      <c r="C11" s="15"/>
      <c r="D11" s="15"/>
      <c r="E11" s="15"/>
    </row>
    <row r="12" customFormat="false" ht="23.85" hidden="false" customHeight="false" outlineLevel="0" collapsed="false">
      <c r="A12" s="4" t="s">
        <v>69</v>
      </c>
      <c r="B12" s="21" t="s">
        <v>70</v>
      </c>
      <c r="C12" s="4" t="s">
        <v>71</v>
      </c>
      <c r="D12" s="4" t="s">
        <v>72</v>
      </c>
      <c r="E12" s="17" t="str">
        <f aca="false">INDEX(Prices!$I$6:$I$9,MATCH($B$12,Prices!$A$6:$A$9,0))</f>
        <v>The price-performance workhorse: mature software, abundant supply, falling rates. Committed estimate sits below the $3.84 market average; neocloud on-demand clusters around $2.70-$3.20.</v>
      </c>
    </row>
    <row r="13" customFormat="false" ht="23.85" hidden="false" customHeight="false" outlineLevel="0" collapsed="false">
      <c r="A13" s="4" t="s">
        <v>73</v>
      </c>
      <c r="B13" s="21" t="s">
        <v>74</v>
      </c>
      <c r="C13" s="4" t="s">
        <v>71</v>
      </c>
      <c r="D13" s="4" t="s">
        <v>72</v>
      </c>
      <c r="E13" s="17" t="s">
        <v>75</v>
      </c>
    </row>
    <row r="14" customFormat="false" ht="23.85" hidden="false" customHeight="false" outlineLevel="0" collapsed="false">
      <c r="A14" s="4" t="s">
        <v>76</v>
      </c>
      <c r="B14" s="22" t="n">
        <f aca="false">INDEX(Prices!$B$6:$B$9,MATCH($B$12,Prices!$A$6:$A$9,0))</f>
        <v>2.5</v>
      </c>
      <c r="C14" s="4" t="s">
        <v>77</v>
      </c>
      <c r="D14" s="4" t="s">
        <v>72</v>
      </c>
      <c r="E14" s="17" t="str">
        <f aca="false">"Committed rate for "&amp;$B$12&amp;". For reference: cheapest on-demand listing $"&amp;TEXT(INDEX(Prices!$E$6:$E$9,MATCH($B$12,Prices!$A$6:$A$9,0)),"0.00")&amp;"/hr (single GPUs, not reliable at scale). Edit the Prices tab to change."</f>
        <v>Committed rate for H100 SXM. For reference: cheapest on-demand listing $1.79/hr (single GPUs, not reliable at scale). Edit the Prices tab to change.</v>
      </c>
    </row>
    <row r="15" customFormat="false" ht="23.85" hidden="false" customHeight="false" outlineLevel="0" collapsed="false">
      <c r="A15" s="4" t="s">
        <v>78</v>
      </c>
      <c r="B15" s="22" t="n">
        <f aca="false">INDEX(Prices!$C$6:$C$9,MATCH($B$12,Prices!$A$6:$A$9,0))</f>
        <v>3</v>
      </c>
      <c r="C15" s="4" t="s">
        <v>77</v>
      </c>
      <c r="D15" s="4" t="s">
        <v>72</v>
      </c>
      <c r="E15" s="17" t="str">
        <f aca="false">"Same-tier on-demand for "&amp;$B$12&amp;", so the reserve-vs-rent test compares like with like (market average across all providers incl. hyperscalers: "&amp;INDEX(Prices!$D$6:$D$9,MATCH($B$12,Prices!$A$6:$A$9,0))&amp;")."</f>
        <v>Same-tier on-demand for H100 SXM, so the reserve-vs-rent test compares like with like (market average across all providers incl. hyperscalers: 3.84).</v>
      </c>
    </row>
    <row r="16" customFormat="false" ht="23.85" hidden="false" customHeight="false" outlineLevel="0" collapsed="false">
      <c r="A16" s="4" t="s">
        <v>79</v>
      </c>
      <c r="B16" s="23" t="n">
        <f aca="false">IF($B$13="FP8",INDEX(Prices!$G$6:$G$9,MATCH($B$12,Prices!$A$6:$A$9,0)),INDEX(Prices!$F$6:$F$9,MATCH($B$12,Prices!$A$6:$A$9,0)))</f>
        <v>989</v>
      </c>
      <c r="C16" s="4" t="s">
        <v>80</v>
      </c>
      <c r="D16" s="4" t="s">
        <v>81</v>
      </c>
      <c r="E16" s="17" t="str">
        <f aca="false">$B$12&amp;" "&amp;$B$13&amp;" dense spec. Datasheets often quote sparse figures, which are 2x higher and not achievable for this workload."</f>
        <v>H100 SXM BF16 dense spec. Datasheets often quote sparse figures, which are 2x higher and not achievable for this workload.</v>
      </c>
    </row>
    <row r="17" customFormat="false" ht="23.85" hidden="false" customHeight="false" outlineLevel="0" collapsed="false">
      <c r="A17" s="4" t="s">
        <v>82</v>
      </c>
      <c r="B17" s="24" t="n">
        <v>0.4</v>
      </c>
      <c r="C17" s="4" t="s">
        <v>83</v>
      </c>
      <c r="D17" s="4" t="s">
        <v>72</v>
      </c>
      <c r="E17" s="17" t="s">
        <v>84</v>
      </c>
    </row>
    <row r="18" customFormat="false" ht="23.85" hidden="false" customHeight="false" outlineLevel="0" collapsed="false">
      <c r="A18" s="4" t="s">
        <v>85</v>
      </c>
      <c r="B18" s="25" t="n">
        <v>0.6</v>
      </c>
      <c r="C18" s="4" t="s">
        <v>83</v>
      </c>
      <c r="D18" s="4" t="s">
        <v>72</v>
      </c>
      <c r="E18" s="17" t="s">
        <v>86</v>
      </c>
    </row>
    <row r="19" customFormat="false" ht="35.05" hidden="false" customHeight="false" outlineLevel="0" collapsed="false">
      <c r="A19" s="4" t="s">
        <v>87</v>
      </c>
      <c r="B19" s="26" t="n">
        <v>8</v>
      </c>
      <c r="C19" s="4" t="s">
        <v>88</v>
      </c>
      <c r="D19" s="4" t="s">
        <v>89</v>
      </c>
      <c r="E19" s="17" t="s">
        <v>90</v>
      </c>
    </row>
    <row r="20" customFormat="false" ht="15" hidden="false" customHeight="false" outlineLevel="0" collapsed="false">
      <c r="A20" s="4" t="s">
        <v>91</v>
      </c>
      <c r="B20" s="27" t="n">
        <v>1.2</v>
      </c>
      <c r="C20" s="4" t="s">
        <v>92</v>
      </c>
      <c r="D20" s="4" t="s">
        <v>72</v>
      </c>
      <c r="E20" s="17" t="s">
        <v>93</v>
      </c>
    </row>
    <row r="21" customFormat="false" ht="35.05" hidden="false" customHeight="false" outlineLevel="0" collapsed="false">
      <c r="A21" s="4" t="s">
        <v>94</v>
      </c>
      <c r="B21" s="25" t="n">
        <v>1</v>
      </c>
      <c r="C21" s="4" t="s">
        <v>83</v>
      </c>
      <c r="D21" s="4" t="s">
        <v>89</v>
      </c>
      <c r="E21" s="17" t="s">
        <v>95</v>
      </c>
    </row>
    <row r="22" customFormat="false" ht="15" hidden="false" customHeight="false" outlineLevel="0" collapsed="false">
      <c r="A22" s="14" t="s">
        <v>96</v>
      </c>
      <c r="B22" s="15"/>
      <c r="C22" s="15"/>
      <c r="D22" s="15"/>
      <c r="E22" s="15"/>
    </row>
    <row r="23" customFormat="false" ht="23.85" hidden="false" customHeight="false" outlineLevel="0" collapsed="false">
      <c r="A23" s="4" t="s">
        <v>97</v>
      </c>
      <c r="B23" s="21" t="s">
        <v>98</v>
      </c>
      <c r="C23" s="4" t="s">
        <v>71</v>
      </c>
      <c r="D23" s="4" t="s">
        <v>99</v>
      </c>
      <c r="E23" s="17" t="s">
        <v>100</v>
      </c>
    </row>
    <row r="24" customFormat="false" ht="15" hidden="false" customHeight="false" outlineLevel="0" collapsed="false">
      <c r="A24" s="4" t="s">
        <v>101</v>
      </c>
      <c r="B24" s="23" t="n">
        <f aca="false">IF($B$23="Doom demo",$B$8/($B$9*3600)/($B$6/1000000),IF($B$23="Live test",IF(LiveTest!$B$32&gt;0,LiveTest!$B$32,LiveTest!$E$13),LiveTest!$E$13))</f>
        <v>913.166666666667</v>
      </c>
      <c r="C24" s="4" t="s">
        <v>102</v>
      </c>
      <c r="D24" s="4" t="s">
        <v>103</v>
      </c>
      <c r="E24" s="17" t="str">
        <f aca="false">"Using: "&amp;$B$23&amp;IF(AND($B$23="Live test",LiveTest!$B$32=0)," (no live results pasted yet, falling back to sample workloads)","")</f>
        <v>Using: Live test</v>
      </c>
    </row>
    <row r="25" customFormat="false" ht="23.85" hidden="false" customHeight="false" outlineLevel="0" collapsed="false">
      <c r="A25" s="4" t="s">
        <v>104</v>
      </c>
      <c r="B25" s="21" t="s">
        <v>105</v>
      </c>
      <c r="C25" s="4" t="s">
        <v>71</v>
      </c>
      <c r="D25" s="4" t="s">
        <v>99</v>
      </c>
      <c r="E25" s="17" t="str">
        <f aca="false">INDEX(Prices!$G$14:$G$21,MATCH($B$25,Prices!$A$14:$A$21,0))</f>
        <v>Fast, low-cost tier. MEASURED 371 visible output tokens: in the live test it ignored the JSON-only instruction and explained its answers. Prompt-dependent; a stricter prompt would likely cut this and its cost by 2-3x.</v>
      </c>
    </row>
    <row r="26" customFormat="false" ht="23.85" hidden="false" customHeight="false" outlineLevel="0" collapsed="false">
      <c r="A26" s="4" t="s">
        <v>106</v>
      </c>
      <c r="B26" s="21" t="s">
        <v>107</v>
      </c>
      <c r="C26" s="4" t="s">
        <v>71</v>
      </c>
      <c r="D26" s="4" t="s">
        <v>99</v>
      </c>
      <c r="E26" s="17" t="str">
        <f aca="false">INDEX(Prices!$G$14:$G$21,MATCH($B$26,Prices!$A$14:$A$21,0))</f>
        <v>Closest to Jev in intelligence per TypeSafe. MEASURED 43 visible + 78 reasoning tokens on six simple decisions (pre-test guess was 1,000 reasoning). Harder multi-step workflows would use more.</v>
      </c>
    </row>
    <row r="27" customFormat="false" ht="23.85" hidden="false" customHeight="false" outlineLevel="0" collapsed="false">
      <c r="A27" s="4" t="s">
        <v>108</v>
      </c>
      <c r="B27" s="23" t="n">
        <f aca="false">IF(COUNT(LiveTest!$H$18:$H$29)=0,150,ROUND(AVERAGE(LiveTest!$H$18:$H$29)-AVERAGE(LiveTest!$C$18:$C$29),0))</f>
        <v>-164</v>
      </c>
      <c r="C27" s="4" t="s">
        <v>102</v>
      </c>
      <c r="D27" s="4" t="s">
        <v>109</v>
      </c>
      <c r="E27" s="17" t="s">
        <v>110</v>
      </c>
    </row>
    <row r="28" customFormat="false" ht="15" hidden="false" customHeight="false" outlineLevel="0" collapsed="false">
      <c r="A28" s="14" t="s">
        <v>111</v>
      </c>
      <c r="B28" s="15"/>
      <c r="C28" s="15"/>
      <c r="D28" s="15"/>
      <c r="E28" s="15"/>
    </row>
    <row r="29" customFormat="false" ht="15" hidden="false" customHeight="false" outlineLevel="0" collapsed="false">
      <c r="A29" s="4" t="s">
        <v>112</v>
      </c>
      <c r="B29" s="20" t="n">
        <v>40</v>
      </c>
      <c r="C29" s="4" t="s">
        <v>113</v>
      </c>
      <c r="D29" s="4" t="s">
        <v>53</v>
      </c>
      <c r="E29" s="17" t="s">
        <v>114</v>
      </c>
    </row>
    <row r="30" customFormat="false" ht="15" hidden="false" customHeight="false" outlineLevel="0" collapsed="false">
      <c r="A30" s="4" t="s">
        <v>115</v>
      </c>
      <c r="B30" s="20" t="n">
        <v>200</v>
      </c>
      <c r="C30" s="4" t="s">
        <v>113</v>
      </c>
      <c r="D30" s="4" t="s">
        <v>66</v>
      </c>
      <c r="E30" s="17" t="s">
        <v>116</v>
      </c>
    </row>
    <row r="31" customFormat="false" ht="15" hidden="false" customHeight="false" outlineLevel="0" collapsed="false">
      <c r="A31" s="4" t="s">
        <v>117</v>
      </c>
      <c r="B31" s="20" t="n">
        <v>20</v>
      </c>
      <c r="C31" s="4" t="s">
        <v>113</v>
      </c>
      <c r="D31" s="4" t="s">
        <v>89</v>
      </c>
      <c r="E31" s="17" t="s">
        <v>118</v>
      </c>
    </row>
    <row r="32" customFormat="false" ht="15" hidden="false" customHeight="false" outlineLevel="0" collapsed="false">
      <c r="A32" s="4" t="s">
        <v>119</v>
      </c>
      <c r="B32" s="28" t="n">
        <v>30</v>
      </c>
      <c r="C32" s="4" t="s">
        <v>113</v>
      </c>
      <c r="D32" s="4" t="s">
        <v>89</v>
      </c>
      <c r="E32" s="17"/>
    </row>
    <row r="33" customFormat="false" ht="15" hidden="false" customHeight="false" outlineLevel="0" collapsed="false">
      <c r="A33" s="4" t="s">
        <v>120</v>
      </c>
      <c r="B33" s="20" t="n">
        <v>40</v>
      </c>
      <c r="C33" s="4" t="s">
        <v>113</v>
      </c>
      <c r="D33" s="4" t="s">
        <v>89</v>
      </c>
      <c r="E33" s="17" t="s">
        <v>121</v>
      </c>
    </row>
    <row r="34" customFormat="false" ht="15" hidden="false" customHeight="false" outlineLevel="0" collapsed="false">
      <c r="A34" s="4" t="s">
        <v>122</v>
      </c>
      <c r="B34" s="29" t="n">
        <f aca="false">Hiring!$D$32</f>
        <v>25</v>
      </c>
      <c r="C34" s="4" t="s">
        <v>123</v>
      </c>
      <c r="D34" s="4" t="s">
        <v>124</v>
      </c>
      <c r="E34" s="17" t="s">
        <v>125</v>
      </c>
    </row>
    <row r="35" customFormat="false" ht="15" hidden="false" customHeight="false" outlineLevel="0" collapsed="false">
      <c r="A35" s="4" t="s">
        <v>126</v>
      </c>
      <c r="B35" s="30" t="n">
        <f aca="false">Hiring!$H$32/1000</f>
        <v>8.1825</v>
      </c>
      <c r="C35" s="4" t="s">
        <v>127</v>
      </c>
      <c r="D35" s="4" t="s">
        <v>124</v>
      </c>
      <c r="E35" s="17" t="s">
        <v>128</v>
      </c>
    </row>
    <row r="36" customFormat="false" ht="15" hidden="false" customHeight="false" outlineLevel="0" collapsed="false">
      <c r="A36" s="4" t="s">
        <v>129</v>
      </c>
      <c r="B36" s="19" t="n">
        <v>18</v>
      </c>
      <c r="C36" s="4" t="s">
        <v>130</v>
      </c>
      <c r="D36" s="4" t="s">
        <v>131</v>
      </c>
      <c r="E36" s="17" t="s">
        <v>132</v>
      </c>
    </row>
    <row r="37" customFormat="false" ht="15" hidden="false" customHeight="false" outlineLevel="0" collapsed="false">
      <c r="A37" s="4" t="s">
        <v>133</v>
      </c>
      <c r="B37" s="31" t="n">
        <v>3</v>
      </c>
      <c r="C37" s="4" t="s">
        <v>127</v>
      </c>
      <c r="D37" s="4" t="s">
        <v>72</v>
      </c>
      <c r="E37" s="17" t="s">
        <v>134</v>
      </c>
    </row>
    <row r="38" customFormat="false" ht="23.85" hidden="false" customHeight="false" outlineLevel="0" collapsed="false">
      <c r="A38" s="4" t="s">
        <v>135</v>
      </c>
      <c r="B38" s="21" t="s">
        <v>70</v>
      </c>
      <c r="C38" s="4" t="s">
        <v>71</v>
      </c>
      <c r="D38" s="4" t="s">
        <v>72</v>
      </c>
      <c r="E38" s="17" t="str">
        <f aca="false">INDEX(Prices!$I$6:$I$9,MATCH($B$38,Prices!$A$6:$A$9,0))</f>
        <v>The price-performance workhorse: mature software, abundant supply, falling rates. Committed estimate sits below the $3.84 market average; neocloud on-demand clusters around $2.70-$3.20.</v>
      </c>
    </row>
    <row r="39" customFormat="false" ht="23.85" hidden="false" customHeight="false" outlineLevel="0" collapsed="false">
      <c r="A39" s="4" t="s">
        <v>136</v>
      </c>
      <c r="B39" s="32" t="n">
        <v>256</v>
      </c>
      <c r="C39" s="4" t="s">
        <v>137</v>
      </c>
      <c r="D39" s="4" t="s">
        <v>72</v>
      </c>
      <c r="E39" s="17" t="s">
        <v>138</v>
      </c>
    </row>
    <row r="40" customFormat="false" ht="15" hidden="false" customHeight="false" outlineLevel="0" collapsed="false">
      <c r="A40" s="4" t="s">
        <v>139</v>
      </c>
      <c r="B40" s="22" t="n">
        <f aca="false">INDEX(Prices!$B$6:$B$9,MATCH($B$38,Prices!$A$6:$A$9,0))</f>
        <v>2.5</v>
      </c>
      <c r="C40" s="4" t="s">
        <v>77</v>
      </c>
      <c r="D40" s="4" t="s">
        <v>72</v>
      </c>
      <c r="E40" s="17" t="str">
        <f aca="false">"Committed rate for "&amp;$B$38&amp;" from the Prices tab."</f>
        <v>Committed rate for H100 SXM from the Prices tab.</v>
      </c>
    </row>
    <row r="41" customFormat="false" ht="15" hidden="false" customHeight="false" outlineLevel="0" collapsed="false">
      <c r="A41" s="14" t="s">
        <v>140</v>
      </c>
      <c r="B41" s="15"/>
      <c r="C41" s="15"/>
      <c r="D41" s="15"/>
      <c r="E41" s="15"/>
    </row>
    <row r="42" customFormat="false" ht="15" hidden="false" customHeight="false" outlineLevel="0" collapsed="false">
      <c r="A42" s="4" t="s">
        <v>141</v>
      </c>
      <c r="B42" s="24" t="n">
        <v>0.4</v>
      </c>
      <c r="C42" s="4" t="s">
        <v>83</v>
      </c>
      <c r="D42" s="4" t="s">
        <v>72</v>
      </c>
      <c r="E42" s="17" t="s">
        <v>142</v>
      </c>
    </row>
    <row r="43" customFormat="false" ht="15" hidden="false" customHeight="false" outlineLevel="0" collapsed="false">
      <c r="A43" s="4" t="s">
        <v>143</v>
      </c>
      <c r="B43" s="24" t="n">
        <v>0.05</v>
      </c>
      <c r="C43" s="4" t="s">
        <v>83</v>
      </c>
      <c r="D43" s="4" t="s">
        <v>89</v>
      </c>
      <c r="E43" s="17" t="s">
        <v>144</v>
      </c>
    </row>
    <row r="44" customFormat="false" ht="15" hidden="false" customHeight="false" outlineLevel="0" collapsed="false">
      <c r="A44" s="4" t="s">
        <v>145</v>
      </c>
      <c r="B44" s="24" t="n">
        <v>0.03</v>
      </c>
      <c r="C44" s="4" t="s">
        <v>83</v>
      </c>
      <c r="D44" s="4" t="s">
        <v>72</v>
      </c>
      <c r="E44" s="17" t="s">
        <v>146</v>
      </c>
    </row>
    <row r="45" customFormat="false" ht="15" hidden="false" customHeight="false" outlineLevel="0" collapsed="false">
      <c r="A45" s="4" t="s">
        <v>147</v>
      </c>
      <c r="B45" s="19" t="n">
        <v>1500</v>
      </c>
      <c r="C45" s="4" t="s">
        <v>148</v>
      </c>
      <c r="D45" s="4" t="s">
        <v>89</v>
      </c>
      <c r="E45" s="17"/>
    </row>
    <row r="46" customFormat="false" ht="15" hidden="false" customHeight="false" outlineLevel="0" collapsed="false">
      <c r="A46" s="4" t="s">
        <v>149</v>
      </c>
      <c r="B46" s="24" t="n">
        <v>0.6</v>
      </c>
      <c r="C46" s="4" t="s">
        <v>83</v>
      </c>
      <c r="D46" s="4" t="s">
        <v>72</v>
      </c>
      <c r="E46" s="17"/>
    </row>
    <row r="47" customFormat="false" ht="15" hidden="false" customHeight="false" outlineLevel="0" collapsed="false">
      <c r="A47" s="14" t="s">
        <v>150</v>
      </c>
      <c r="B47" s="15"/>
      <c r="C47" s="15"/>
      <c r="D47" s="15"/>
      <c r="E47" s="15"/>
    </row>
    <row r="48" customFormat="false" ht="23.85" hidden="false" customHeight="false" outlineLevel="0" collapsed="false">
      <c r="A48" s="4" t="s">
        <v>151</v>
      </c>
      <c r="B48" s="26" t="n">
        <v>90</v>
      </c>
      <c r="C48" s="4" t="s">
        <v>152</v>
      </c>
      <c r="D48" s="4" t="s">
        <v>89</v>
      </c>
      <c r="E48" s="17" t="s">
        <v>153</v>
      </c>
    </row>
    <row r="49" customFormat="false" ht="15" hidden="false" customHeight="false" outlineLevel="0" collapsed="false">
      <c r="A49" s="4" t="s">
        <v>154</v>
      </c>
      <c r="B49" s="33" t="n">
        <f aca="false">$B$48*1000000000*365/1000000*$B$6/1000000</f>
        <v>1.3797</v>
      </c>
      <c r="C49" s="4" t="s">
        <v>113</v>
      </c>
      <c r="D49" s="4" t="s">
        <v>103</v>
      </c>
      <c r="E49" s="17" t="s">
        <v>155</v>
      </c>
    </row>
    <row r="50" customFormat="false" ht="15" hidden="false" customHeight="false" outlineLevel="0" collapsed="false">
      <c r="A50" s="4" t="s">
        <v>156</v>
      </c>
      <c r="B50" s="34" t="n">
        <f aca="false">$B$48*1000000000/$B$24/1000000</f>
        <v>98.5581310458113</v>
      </c>
      <c r="C50" s="4" t="s">
        <v>157</v>
      </c>
      <c r="D50" s="4" t="s">
        <v>103</v>
      </c>
      <c r="E50" s="17" t="s">
        <v>158</v>
      </c>
    </row>
    <row r="51" customFormat="false" ht="15" hidden="false" customHeight="false" outlineLevel="0" collapsed="false">
      <c r="A51" s="4" t="s">
        <v>159</v>
      </c>
      <c r="B51" s="25" t="n">
        <v>0.15</v>
      </c>
      <c r="C51" s="4" t="s">
        <v>83</v>
      </c>
      <c r="D51" s="4" t="s">
        <v>72</v>
      </c>
      <c r="E51" s="17" t="s">
        <v>160</v>
      </c>
    </row>
    <row r="52" customFormat="false" ht="15" hidden="false" customHeight="false" outlineLevel="0" collapsed="false">
      <c r="A52" s="4" t="s">
        <v>161</v>
      </c>
      <c r="B52" s="25" t="n">
        <v>0.03</v>
      </c>
      <c r="C52" s="4" t="s">
        <v>83</v>
      </c>
      <c r="D52" s="4" t="s">
        <v>72</v>
      </c>
      <c r="E52" s="17" t="s">
        <v>162</v>
      </c>
    </row>
  </sheetData>
  <dataValidations count="4">
    <dataValidation allowBlank="false" errorStyle="stop" operator="between" showDropDown="false" showErrorMessage="false" showInputMessage="false" sqref="B12 B38" type="list">
      <formula1>"H100 SXM,H200,B200,B300"</formula1>
      <formula2>0</formula2>
    </dataValidation>
    <dataValidation allowBlank="false" errorStyle="stop" operator="between" showDropDown="false" showErrorMessage="false" showInputMessage="false" sqref="B13" type="list">
      <formula1>"BF16,FP8"</formula1>
      <formula2>0</formula2>
    </dataValidation>
    <dataValidation allowBlank="false" errorStyle="stop" operator="between" showDropDown="false" showErrorMessage="false" showInputMessage="false" sqref="B23" type="list">
      <formula1>"Doom demo,Sample workloads,Live test"</formula1>
      <formula2>0</formula2>
    </dataValidation>
    <dataValidation allowBlank="false" errorStyle="stop" operator="between" showDropDown="false" showErrorMessage="false" showInputMessage="false" sqref="B25:B26" type="list">
      <formula1>Prices!$A$14:$A$21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3"/>
    <col collapsed="false" customWidth="true" hidden="false" outlineLevel="0" max="3" min="3" style="0" width="11"/>
    <col collapsed="false" customWidth="true" hidden="false" outlineLevel="0" max="4" min="4" style="0" width="8"/>
    <col collapsed="false" customWidth="true" hidden="false" outlineLevel="0" max="6" min="5" style="0" width="14"/>
    <col collapsed="false" customWidth="true" hidden="false" outlineLevel="0" max="7" min="7" style="0" width="12"/>
    <col collapsed="false" customWidth="true" hidden="false" outlineLevel="0" max="9" min="8" style="0" width="16"/>
    <col collapsed="false" customWidth="true" hidden="false" outlineLevel="0" max="10" min="10" style="0" width="50"/>
  </cols>
  <sheetData>
    <row r="1" customFormat="false" ht="17.35" hidden="false" customHeight="false" outlineLevel="0" collapsed="false">
      <c r="A1" s="1" t="s">
        <v>163</v>
      </c>
    </row>
    <row r="2" customFormat="false" ht="15" hidden="false" customHeight="false" outlineLevel="0" collapsed="false">
      <c r="A2" s="2" t="s">
        <v>164</v>
      </c>
    </row>
    <row r="4" customFormat="false" ht="15" hidden="false" customHeight="false" outlineLevel="0" collapsed="false">
      <c r="A4" s="13" t="s">
        <v>165</v>
      </c>
    </row>
    <row r="5" customFormat="false" ht="15" hidden="false" customHeight="false" outlineLevel="0" collapsed="false">
      <c r="A5" s="4" t="s">
        <v>122</v>
      </c>
      <c r="B5" s="23" t="n">
        <f aca="false">D32</f>
        <v>25</v>
      </c>
    </row>
    <row r="6" customFormat="false" ht="15" hidden="false" customHeight="false" outlineLevel="0" collapsed="false">
      <c r="A6" s="4" t="s">
        <v>166</v>
      </c>
      <c r="B6" s="33" t="n">
        <f aca="false">H32/1000</f>
        <v>8.1825</v>
      </c>
    </row>
    <row r="7" customFormat="false" ht="15" hidden="false" customHeight="false" outlineLevel="0" collapsed="false">
      <c r="A7" s="4" t="s">
        <v>167</v>
      </c>
      <c r="B7" s="23" t="n">
        <f aca="false">SUM(D37:D66)</f>
        <v>1</v>
      </c>
    </row>
    <row r="8" customFormat="false" ht="15" hidden="false" customHeight="false" outlineLevel="0" collapsed="false">
      <c r="A8" s="4" t="s">
        <v>168</v>
      </c>
      <c r="B8" s="29" t="n">
        <f aca="false">Runway!Y5</f>
        <v>26</v>
      </c>
    </row>
    <row r="9" customFormat="false" ht="15" hidden="false" customHeight="false" outlineLevel="0" collapsed="false">
      <c r="A9" s="4" t="s">
        <v>169</v>
      </c>
      <c r="B9" s="30" t="n">
        <f aca="false">Runway!Y6*12</f>
        <v>8.42</v>
      </c>
    </row>
    <row r="10" customFormat="false" ht="15" hidden="false" customHeight="false" outlineLevel="0" collapsed="false">
      <c r="A10" s="4" t="s">
        <v>170</v>
      </c>
      <c r="B10" s="29" t="n">
        <f aca="false">Assumptions!$B$36</f>
        <v>18</v>
      </c>
    </row>
    <row r="11" customFormat="false" ht="15" hidden="false" customHeight="false" outlineLevel="0" collapsed="false">
      <c r="A11" s="4" t="s">
        <v>171</v>
      </c>
      <c r="B11" s="29" t="n">
        <f aca="false">Runway!B34</f>
        <v>22</v>
      </c>
    </row>
    <row r="12" customFormat="false" ht="15" hidden="false" customHeight="false" outlineLevel="0" collapsed="false">
      <c r="A12" s="4" t="s">
        <v>172</v>
      </c>
      <c r="B12" s="29" t="n">
        <f aca="false">Runway!B37</f>
        <v>1</v>
      </c>
    </row>
    <row r="13" customFormat="false" ht="15" hidden="false" customHeight="false" outlineLevel="0" collapsed="false">
      <c r="A13" s="13" t="s">
        <v>173</v>
      </c>
      <c r="B13" s="13" t="str">
        <f aca="false">IF(B11&gt;=B10,"YES: runway stays at or above target","NO: runway falls below target. Delay start months or cut hires.")</f>
        <v>YES: runway stays at or above target</v>
      </c>
    </row>
    <row r="15" customFormat="false" ht="15" hidden="false" customHeight="false" outlineLevel="0" collapsed="false">
      <c r="A15" s="13" t="s">
        <v>174</v>
      </c>
    </row>
    <row r="16" customFormat="false" ht="35.05" hidden="false" customHeight="false" outlineLevel="0" collapsed="false">
      <c r="A16" s="3" t="s">
        <v>175</v>
      </c>
      <c r="B16" s="3" t="s">
        <v>176</v>
      </c>
      <c r="C16" s="3" t="s">
        <v>177</v>
      </c>
      <c r="D16" s="3" t="s">
        <v>178</v>
      </c>
      <c r="E16" s="3" t="s">
        <v>179</v>
      </c>
      <c r="F16" s="3" t="s">
        <v>180</v>
      </c>
      <c r="G16" s="3" t="s">
        <v>181</v>
      </c>
      <c r="H16" s="3" t="s">
        <v>182</v>
      </c>
      <c r="I16" s="3"/>
      <c r="J16" s="3" t="s">
        <v>183</v>
      </c>
    </row>
    <row r="17" customFormat="false" ht="15" hidden="false" customHeight="false" outlineLevel="0" collapsed="false">
      <c r="A17" s="35" t="s">
        <v>184</v>
      </c>
      <c r="B17" s="35" t="s">
        <v>185</v>
      </c>
      <c r="C17" s="35" t="s">
        <v>186</v>
      </c>
      <c r="D17" s="36" t="n">
        <v>3</v>
      </c>
      <c r="E17" s="37" t="n">
        <v>250</v>
      </c>
      <c r="F17" s="38" t="n">
        <f aca="false">IF(C17="Contract",1,IF(C17="FTE",$B$70,0))</f>
        <v>1.25</v>
      </c>
      <c r="G17" s="39" t="n">
        <f aca="false">E17*F17</f>
        <v>312.5</v>
      </c>
      <c r="H17" s="39" t="n">
        <f aca="false">D17*G17</f>
        <v>937.5</v>
      </c>
      <c r="J17" s="4" t="s">
        <v>187</v>
      </c>
    </row>
    <row r="18" customFormat="false" ht="15" hidden="false" customHeight="false" outlineLevel="0" collapsed="false">
      <c r="A18" s="35" t="s">
        <v>188</v>
      </c>
      <c r="B18" s="35" t="s">
        <v>189</v>
      </c>
      <c r="C18" s="35" t="s">
        <v>186</v>
      </c>
      <c r="D18" s="36" t="n">
        <v>13</v>
      </c>
      <c r="E18" s="37" t="n">
        <v>300</v>
      </c>
      <c r="F18" s="38" t="n">
        <f aca="false">IF(C18="Contract",1,IF(C18="FTE",$B$70,0))</f>
        <v>1.25</v>
      </c>
      <c r="G18" s="39" t="n">
        <f aca="false">E18*F18</f>
        <v>375</v>
      </c>
      <c r="H18" s="39" t="n">
        <f aca="false">D18*G18</f>
        <v>4875</v>
      </c>
      <c r="J18" s="4" t="s">
        <v>190</v>
      </c>
    </row>
    <row r="19" customFormat="false" ht="15" hidden="false" customHeight="false" outlineLevel="0" collapsed="false">
      <c r="A19" s="35" t="s">
        <v>191</v>
      </c>
      <c r="B19" s="35" t="s">
        <v>189</v>
      </c>
      <c r="C19" s="35" t="s">
        <v>186</v>
      </c>
      <c r="D19" s="36" t="n">
        <v>1</v>
      </c>
      <c r="E19" s="37" t="n">
        <v>280</v>
      </c>
      <c r="F19" s="38" t="n">
        <f aca="false">IF(C19="Contract",1,IF(C19="FTE",$B$70,0))</f>
        <v>1.25</v>
      </c>
      <c r="G19" s="39" t="n">
        <f aca="false">E19*F19</f>
        <v>350</v>
      </c>
      <c r="H19" s="39" t="n">
        <f aca="false">D19*G19</f>
        <v>350</v>
      </c>
      <c r="J19" s="4"/>
    </row>
    <row r="20" customFormat="false" ht="15" hidden="false" customHeight="false" outlineLevel="0" collapsed="false">
      <c r="A20" s="35" t="s">
        <v>192</v>
      </c>
      <c r="B20" s="35" t="s">
        <v>189</v>
      </c>
      <c r="C20" s="35" t="s">
        <v>186</v>
      </c>
      <c r="D20" s="36" t="n">
        <v>1</v>
      </c>
      <c r="E20" s="37" t="n">
        <v>260</v>
      </c>
      <c r="F20" s="38" t="n">
        <f aca="false">IF(C20="Contract",1,IF(C20="FTE",$B$70,0))</f>
        <v>1.25</v>
      </c>
      <c r="G20" s="39" t="n">
        <f aca="false">E20*F20</f>
        <v>325</v>
      </c>
      <c r="H20" s="39" t="n">
        <f aca="false">D20*G20</f>
        <v>325</v>
      </c>
      <c r="J20" s="4" t="s">
        <v>193</v>
      </c>
    </row>
    <row r="21" customFormat="false" ht="15" hidden="false" customHeight="false" outlineLevel="0" collapsed="false">
      <c r="A21" s="35" t="s">
        <v>194</v>
      </c>
      <c r="B21" s="35" t="s">
        <v>194</v>
      </c>
      <c r="C21" s="35" t="s">
        <v>186</v>
      </c>
      <c r="D21" s="36" t="n">
        <v>2</v>
      </c>
      <c r="E21" s="37" t="n">
        <v>230</v>
      </c>
      <c r="F21" s="38" t="n">
        <f aca="false">IF(C21="Contract",1,IF(C21="FTE",$B$70,0))</f>
        <v>1.25</v>
      </c>
      <c r="G21" s="39" t="n">
        <f aca="false">E21*F21</f>
        <v>287.5</v>
      </c>
      <c r="H21" s="39" t="n">
        <f aca="false">D21*G21</f>
        <v>575</v>
      </c>
      <c r="J21" s="4" t="s">
        <v>195</v>
      </c>
    </row>
    <row r="22" customFormat="false" ht="15" hidden="false" customHeight="false" outlineLevel="0" collapsed="false">
      <c r="A22" s="35" t="s">
        <v>196</v>
      </c>
      <c r="B22" s="35" t="s">
        <v>196</v>
      </c>
      <c r="C22" s="35" t="s">
        <v>186</v>
      </c>
      <c r="D22" s="36" t="n">
        <v>1</v>
      </c>
      <c r="E22" s="37" t="n">
        <v>200</v>
      </c>
      <c r="F22" s="38" t="n">
        <f aca="false">IF(C22="Contract",1,IF(C22="FTE",$B$70,0))</f>
        <v>1.25</v>
      </c>
      <c r="G22" s="39" t="n">
        <f aca="false">E22*F22</f>
        <v>250</v>
      </c>
      <c r="H22" s="39" t="n">
        <f aca="false">D22*G22</f>
        <v>250</v>
      </c>
      <c r="J22" s="4"/>
    </row>
    <row r="23" customFormat="false" ht="15" hidden="false" customHeight="false" outlineLevel="0" collapsed="false">
      <c r="A23" s="35" t="s">
        <v>197</v>
      </c>
      <c r="B23" s="35" t="s">
        <v>196</v>
      </c>
      <c r="C23" s="35" t="s">
        <v>186</v>
      </c>
      <c r="D23" s="36" t="n">
        <v>1</v>
      </c>
      <c r="E23" s="37" t="n">
        <v>190</v>
      </c>
      <c r="F23" s="38" t="n">
        <f aca="false">IF(C23="Contract",1,IF(C23="FTE",$B$70,0))</f>
        <v>1.25</v>
      </c>
      <c r="G23" s="39" t="n">
        <f aca="false">E23*F23</f>
        <v>237.5</v>
      </c>
      <c r="H23" s="39" t="n">
        <f aca="false">D23*G23</f>
        <v>237.5</v>
      </c>
      <c r="J23" s="4"/>
    </row>
    <row r="24" customFormat="false" ht="15" hidden="false" customHeight="false" outlineLevel="0" collapsed="false">
      <c r="A24" s="35" t="s">
        <v>198</v>
      </c>
      <c r="B24" s="35" t="s">
        <v>199</v>
      </c>
      <c r="C24" s="35" t="s">
        <v>186</v>
      </c>
      <c r="D24" s="36" t="n">
        <v>1</v>
      </c>
      <c r="E24" s="37" t="n">
        <v>200</v>
      </c>
      <c r="F24" s="38" t="n">
        <f aca="false">IF(C24="Contract",1,IF(C24="FTE",$B$70,0))</f>
        <v>1.25</v>
      </c>
      <c r="G24" s="39" t="n">
        <f aca="false">E24*F24</f>
        <v>250</v>
      </c>
      <c r="H24" s="39" t="n">
        <f aca="false">D24*G24</f>
        <v>250</v>
      </c>
      <c r="J24" s="4"/>
    </row>
    <row r="25" customFormat="false" ht="15" hidden="false" customHeight="false" outlineLevel="0" collapsed="false">
      <c r="A25" s="35" t="s">
        <v>200</v>
      </c>
      <c r="B25" s="35" t="s">
        <v>199</v>
      </c>
      <c r="C25" s="35" t="s">
        <v>186</v>
      </c>
      <c r="D25" s="36" t="n">
        <v>1</v>
      </c>
      <c r="E25" s="37" t="n">
        <v>210</v>
      </c>
      <c r="F25" s="38" t="n">
        <f aca="false">IF(C25="Contract",1,IF(C25="FTE",$B$70,0))</f>
        <v>1.25</v>
      </c>
      <c r="G25" s="39" t="n">
        <f aca="false">E25*F25</f>
        <v>262.5</v>
      </c>
      <c r="H25" s="39" t="n">
        <f aca="false">D25*G25</f>
        <v>262.5</v>
      </c>
      <c r="J25" s="4"/>
    </row>
    <row r="26" customFormat="false" ht="15" hidden="false" customHeight="false" outlineLevel="0" collapsed="false">
      <c r="A26" s="35" t="s">
        <v>201</v>
      </c>
      <c r="B26" s="35" t="s">
        <v>196</v>
      </c>
      <c r="C26" s="35" t="s">
        <v>202</v>
      </c>
      <c r="D26" s="36" t="n">
        <v>1</v>
      </c>
      <c r="E26" s="37" t="n">
        <v>120</v>
      </c>
      <c r="F26" s="38" t="n">
        <f aca="false">IF(C26="Contract",1,IF(C26="FTE",$B$70,0))</f>
        <v>1</v>
      </c>
      <c r="G26" s="39" t="n">
        <f aca="false">E26*F26</f>
        <v>120</v>
      </c>
      <c r="H26" s="39" t="n">
        <f aca="false">D26*G26</f>
        <v>120</v>
      </c>
      <c r="J26" s="4" t="s">
        <v>203</v>
      </c>
    </row>
    <row r="27" customFormat="false" ht="15" hidden="false" customHeight="false" outlineLevel="0" collapsed="false">
      <c r="A27" s="35"/>
      <c r="B27" s="35"/>
      <c r="C27" s="35"/>
      <c r="D27" s="36"/>
      <c r="E27" s="37"/>
      <c r="F27" s="38" t="n">
        <f aca="false">IF(C27="Contract",1,IF(C27="FTE",$B$70,0))</f>
        <v>0</v>
      </c>
      <c r="G27" s="39" t="n">
        <f aca="false">E27*F27</f>
        <v>0</v>
      </c>
      <c r="H27" s="39" t="n">
        <f aca="false">D27*G27</f>
        <v>0</v>
      </c>
      <c r="J27" s="4"/>
    </row>
    <row r="28" customFormat="false" ht="15" hidden="false" customHeight="false" outlineLevel="0" collapsed="false">
      <c r="A28" s="35"/>
      <c r="B28" s="35"/>
      <c r="C28" s="35"/>
      <c r="D28" s="36"/>
      <c r="E28" s="37"/>
      <c r="F28" s="38" t="n">
        <f aca="false">IF(C28="Contract",1,IF(C28="FTE",$B$70,0))</f>
        <v>0</v>
      </c>
      <c r="G28" s="39" t="n">
        <f aca="false">E28*F28</f>
        <v>0</v>
      </c>
      <c r="H28" s="39" t="n">
        <f aca="false">D28*G28</f>
        <v>0</v>
      </c>
      <c r="J28" s="4"/>
    </row>
    <row r="29" customFormat="false" ht="15" hidden="false" customHeight="false" outlineLevel="0" collapsed="false">
      <c r="A29" s="35"/>
      <c r="B29" s="35"/>
      <c r="C29" s="35"/>
      <c r="D29" s="36"/>
      <c r="E29" s="37"/>
      <c r="F29" s="38" t="n">
        <f aca="false">IF(C29="Contract",1,IF(C29="FTE",$B$70,0))</f>
        <v>0</v>
      </c>
      <c r="G29" s="39" t="n">
        <f aca="false">E29*F29</f>
        <v>0</v>
      </c>
      <c r="H29" s="39" t="n">
        <f aca="false">D29*G29</f>
        <v>0</v>
      </c>
      <c r="J29" s="4"/>
    </row>
    <row r="30" customFormat="false" ht="15" hidden="false" customHeight="false" outlineLevel="0" collapsed="false">
      <c r="A30" s="35"/>
      <c r="B30" s="35"/>
      <c r="C30" s="35"/>
      <c r="D30" s="36"/>
      <c r="E30" s="37"/>
      <c r="F30" s="38" t="n">
        <f aca="false">IF(C30="Contract",1,IF(C30="FTE",$B$70,0))</f>
        <v>0</v>
      </c>
      <c r="G30" s="39" t="n">
        <f aca="false">E30*F30</f>
        <v>0</v>
      </c>
      <c r="H30" s="39" t="n">
        <f aca="false">D30*G30</f>
        <v>0</v>
      </c>
      <c r="J30" s="4"/>
    </row>
    <row r="31" customFormat="false" ht="15" hidden="false" customHeight="false" outlineLevel="0" collapsed="false">
      <c r="A31" s="35"/>
      <c r="B31" s="35"/>
      <c r="C31" s="35"/>
      <c r="D31" s="36"/>
      <c r="E31" s="37"/>
      <c r="F31" s="38" t="n">
        <f aca="false">IF(C31="Contract",1,IF(C31="FTE",$B$70,0))</f>
        <v>0</v>
      </c>
      <c r="G31" s="39" t="n">
        <f aca="false">E31*F31</f>
        <v>0</v>
      </c>
      <c r="H31" s="39" t="n">
        <f aca="false">D31*G31</f>
        <v>0</v>
      </c>
      <c r="J31" s="4"/>
    </row>
    <row r="32" customFormat="false" ht="15" hidden="false" customHeight="false" outlineLevel="0" collapsed="false">
      <c r="A32" s="13" t="s">
        <v>204</v>
      </c>
      <c r="D32" s="40" t="n">
        <f aca="false">SUM(D17:D31)</f>
        <v>25</v>
      </c>
      <c r="H32" s="41" t="n">
        <f aca="false">SUM(H17:H31)</f>
        <v>8182.5</v>
      </c>
    </row>
    <row r="35" customFormat="false" ht="15" hidden="false" customHeight="false" outlineLevel="0" collapsed="false">
      <c r="A35" s="13" t="s">
        <v>205</v>
      </c>
    </row>
    <row r="36" customFormat="false" ht="23.85" hidden="false" customHeight="false" outlineLevel="0" collapsed="false">
      <c r="A36" s="3" t="s">
        <v>175</v>
      </c>
      <c r="B36" s="3" t="s">
        <v>176</v>
      </c>
      <c r="C36" s="3" t="s">
        <v>177</v>
      </c>
      <c r="D36" s="3" t="s">
        <v>178</v>
      </c>
      <c r="E36" s="3" t="s">
        <v>206</v>
      </c>
      <c r="F36" s="3" t="s">
        <v>179</v>
      </c>
      <c r="G36" s="3" t="s">
        <v>180</v>
      </c>
      <c r="H36" s="3" t="s">
        <v>181</v>
      </c>
      <c r="I36" s="3" t="s">
        <v>207</v>
      </c>
      <c r="J36" s="3" t="s">
        <v>183</v>
      </c>
    </row>
    <row r="37" customFormat="false" ht="15" hidden="false" customHeight="false" outlineLevel="0" collapsed="false">
      <c r="A37" s="35" t="s">
        <v>208</v>
      </c>
      <c r="B37" s="35" t="s">
        <v>199</v>
      </c>
      <c r="C37" s="35" t="s">
        <v>186</v>
      </c>
      <c r="D37" s="36" t="n">
        <v>1</v>
      </c>
      <c r="E37" s="42" t="n">
        <v>2</v>
      </c>
      <c r="F37" s="37" t="n">
        <v>190</v>
      </c>
      <c r="G37" s="38" t="n">
        <f aca="false">IF(C37="Contract",1,IF(C37="FTE",$B$70,0))</f>
        <v>1.25</v>
      </c>
      <c r="H37" s="39" t="n">
        <f aca="false">F37*G37</f>
        <v>237.5</v>
      </c>
      <c r="I37" s="39" t="n">
        <f aca="false">D37*H37</f>
        <v>237.5</v>
      </c>
      <c r="J37" s="4" t="s">
        <v>209</v>
      </c>
    </row>
    <row r="38" customFormat="false" ht="15" hidden="false" customHeight="false" outlineLevel="0" collapsed="false">
      <c r="A38" s="35"/>
      <c r="B38" s="35"/>
      <c r="C38" s="35"/>
      <c r="D38" s="36"/>
      <c r="E38" s="42"/>
      <c r="F38" s="37"/>
      <c r="G38" s="38" t="n">
        <f aca="false">IF(C38="Contract",1,IF(C38="FTE",$B$70,0))</f>
        <v>0</v>
      </c>
      <c r="H38" s="39" t="n">
        <f aca="false">F38*G38</f>
        <v>0</v>
      </c>
      <c r="I38" s="39" t="n">
        <f aca="false">D38*H38</f>
        <v>0</v>
      </c>
      <c r="J38" s="4"/>
    </row>
    <row r="39" customFormat="false" ht="15" hidden="false" customHeight="false" outlineLevel="0" collapsed="false">
      <c r="A39" s="35"/>
      <c r="B39" s="35"/>
      <c r="C39" s="35"/>
      <c r="D39" s="36"/>
      <c r="E39" s="42"/>
      <c r="F39" s="37"/>
      <c r="G39" s="38" t="n">
        <f aca="false">IF(C39="Contract",1,IF(C39="FTE",$B$70,0))</f>
        <v>0</v>
      </c>
      <c r="H39" s="39" t="n">
        <f aca="false">F39*G39</f>
        <v>0</v>
      </c>
      <c r="I39" s="39" t="n">
        <f aca="false">D39*H39</f>
        <v>0</v>
      </c>
      <c r="J39" s="4"/>
    </row>
    <row r="40" customFormat="false" ht="15" hidden="false" customHeight="false" outlineLevel="0" collapsed="false">
      <c r="A40" s="35"/>
      <c r="B40" s="35"/>
      <c r="C40" s="35"/>
      <c r="D40" s="36"/>
      <c r="E40" s="42"/>
      <c r="F40" s="37"/>
      <c r="G40" s="38" t="n">
        <f aca="false">IF(C40="Contract",1,IF(C40="FTE",$B$70,0))</f>
        <v>0</v>
      </c>
      <c r="H40" s="39" t="n">
        <f aca="false">F40*G40</f>
        <v>0</v>
      </c>
      <c r="I40" s="39" t="n">
        <f aca="false">D40*H40</f>
        <v>0</v>
      </c>
      <c r="J40" s="4"/>
    </row>
    <row r="41" customFormat="false" ht="15" hidden="false" customHeight="false" outlineLevel="0" collapsed="false">
      <c r="A41" s="35"/>
      <c r="B41" s="35"/>
      <c r="C41" s="35"/>
      <c r="D41" s="36"/>
      <c r="E41" s="42"/>
      <c r="F41" s="37"/>
      <c r="G41" s="38" t="n">
        <f aca="false">IF(C41="Contract",1,IF(C41="FTE",$B$70,0))</f>
        <v>0</v>
      </c>
      <c r="H41" s="39" t="n">
        <f aca="false">F41*G41</f>
        <v>0</v>
      </c>
      <c r="I41" s="39" t="n">
        <f aca="false">D41*H41</f>
        <v>0</v>
      </c>
      <c r="J41" s="4"/>
    </row>
    <row r="42" customFormat="false" ht="15" hidden="false" customHeight="false" outlineLevel="0" collapsed="false">
      <c r="A42" s="35"/>
      <c r="B42" s="35"/>
      <c r="C42" s="35"/>
      <c r="D42" s="36"/>
      <c r="E42" s="42"/>
      <c r="F42" s="37"/>
      <c r="G42" s="38" t="n">
        <f aca="false">IF(C42="Contract",1,IF(C42="FTE",$B$70,0))</f>
        <v>0</v>
      </c>
      <c r="H42" s="39" t="n">
        <f aca="false">F42*G42</f>
        <v>0</v>
      </c>
      <c r="I42" s="39" t="n">
        <f aca="false">D42*H42</f>
        <v>0</v>
      </c>
      <c r="J42" s="4"/>
    </row>
    <row r="43" customFormat="false" ht="15" hidden="false" customHeight="false" outlineLevel="0" collapsed="false">
      <c r="A43" s="35"/>
      <c r="B43" s="35"/>
      <c r="C43" s="35"/>
      <c r="D43" s="36"/>
      <c r="E43" s="42"/>
      <c r="F43" s="37"/>
      <c r="G43" s="38" t="n">
        <f aca="false">IF(C43="Contract",1,IF(C43="FTE",$B$70,0))</f>
        <v>0</v>
      </c>
      <c r="H43" s="39" t="n">
        <f aca="false">F43*G43</f>
        <v>0</v>
      </c>
      <c r="I43" s="39" t="n">
        <f aca="false">D43*H43</f>
        <v>0</v>
      </c>
      <c r="J43" s="4"/>
    </row>
    <row r="44" customFormat="false" ht="15" hidden="false" customHeight="false" outlineLevel="0" collapsed="false">
      <c r="A44" s="35"/>
      <c r="B44" s="35"/>
      <c r="C44" s="35"/>
      <c r="D44" s="36"/>
      <c r="E44" s="42"/>
      <c r="F44" s="37"/>
      <c r="G44" s="38" t="n">
        <f aca="false">IF(C44="Contract",1,IF(C44="FTE",$B$70,0))</f>
        <v>0</v>
      </c>
      <c r="H44" s="39" t="n">
        <f aca="false">F44*G44</f>
        <v>0</v>
      </c>
      <c r="I44" s="39" t="n">
        <f aca="false">D44*H44</f>
        <v>0</v>
      </c>
      <c r="J44" s="4"/>
    </row>
    <row r="45" customFormat="false" ht="15" hidden="false" customHeight="false" outlineLevel="0" collapsed="false">
      <c r="A45" s="35"/>
      <c r="B45" s="35"/>
      <c r="C45" s="35"/>
      <c r="D45" s="36"/>
      <c r="E45" s="42"/>
      <c r="F45" s="37"/>
      <c r="G45" s="38" t="n">
        <f aca="false">IF(C45="Contract",1,IF(C45="FTE",$B$70,0))</f>
        <v>0</v>
      </c>
      <c r="H45" s="39" t="n">
        <f aca="false">F45*G45</f>
        <v>0</v>
      </c>
      <c r="I45" s="39" t="n">
        <f aca="false">D45*H45</f>
        <v>0</v>
      </c>
      <c r="J45" s="4"/>
    </row>
    <row r="46" customFormat="false" ht="15" hidden="false" customHeight="false" outlineLevel="0" collapsed="false">
      <c r="A46" s="35"/>
      <c r="B46" s="35"/>
      <c r="C46" s="35"/>
      <c r="D46" s="36"/>
      <c r="E46" s="42"/>
      <c r="F46" s="37"/>
      <c r="G46" s="38" t="n">
        <f aca="false">IF(C46="Contract",1,IF(C46="FTE",$B$70,0))</f>
        <v>0</v>
      </c>
      <c r="H46" s="39" t="n">
        <f aca="false">F46*G46</f>
        <v>0</v>
      </c>
      <c r="I46" s="39" t="n">
        <f aca="false">D46*H46</f>
        <v>0</v>
      </c>
      <c r="J46" s="4"/>
    </row>
    <row r="47" customFormat="false" ht="15" hidden="false" customHeight="false" outlineLevel="0" collapsed="false">
      <c r="A47" s="35"/>
      <c r="B47" s="35"/>
      <c r="C47" s="35"/>
      <c r="D47" s="36"/>
      <c r="E47" s="42"/>
      <c r="F47" s="37"/>
      <c r="G47" s="38" t="n">
        <f aca="false">IF(C47="Contract",1,IF(C47="FTE",$B$70,0))</f>
        <v>0</v>
      </c>
      <c r="H47" s="39" t="n">
        <f aca="false">F47*G47</f>
        <v>0</v>
      </c>
      <c r="I47" s="39" t="n">
        <f aca="false">D47*H47</f>
        <v>0</v>
      </c>
      <c r="J47" s="4"/>
    </row>
    <row r="48" customFormat="false" ht="15" hidden="false" customHeight="false" outlineLevel="0" collapsed="false">
      <c r="A48" s="35"/>
      <c r="B48" s="35"/>
      <c r="C48" s="35"/>
      <c r="D48" s="36"/>
      <c r="E48" s="42"/>
      <c r="F48" s="37"/>
      <c r="G48" s="38" t="n">
        <f aca="false">IF(C48="Contract",1,IF(C48="FTE",$B$70,0))</f>
        <v>0</v>
      </c>
      <c r="H48" s="39" t="n">
        <f aca="false">F48*G48</f>
        <v>0</v>
      </c>
      <c r="I48" s="39" t="n">
        <f aca="false">D48*H48</f>
        <v>0</v>
      </c>
      <c r="J48" s="4"/>
    </row>
    <row r="49" customFormat="false" ht="15" hidden="false" customHeight="false" outlineLevel="0" collapsed="false">
      <c r="A49" s="35"/>
      <c r="B49" s="35"/>
      <c r="C49" s="35"/>
      <c r="D49" s="36"/>
      <c r="E49" s="42"/>
      <c r="F49" s="37"/>
      <c r="G49" s="38" t="n">
        <f aca="false">IF(C49="Contract",1,IF(C49="FTE",$B$70,0))</f>
        <v>0</v>
      </c>
      <c r="H49" s="39" t="n">
        <f aca="false">F49*G49</f>
        <v>0</v>
      </c>
      <c r="I49" s="39" t="n">
        <f aca="false">D49*H49</f>
        <v>0</v>
      </c>
      <c r="J49" s="4"/>
    </row>
    <row r="50" customFormat="false" ht="15" hidden="false" customHeight="false" outlineLevel="0" collapsed="false">
      <c r="A50" s="35"/>
      <c r="B50" s="35"/>
      <c r="C50" s="35"/>
      <c r="D50" s="36"/>
      <c r="E50" s="42"/>
      <c r="F50" s="37"/>
      <c r="G50" s="38" t="n">
        <f aca="false">IF(C50="Contract",1,IF(C50="FTE",$B$70,0))</f>
        <v>0</v>
      </c>
      <c r="H50" s="39" t="n">
        <f aca="false">F50*G50</f>
        <v>0</v>
      </c>
      <c r="I50" s="39" t="n">
        <f aca="false">D50*H50</f>
        <v>0</v>
      </c>
      <c r="J50" s="4"/>
    </row>
    <row r="51" customFormat="false" ht="15" hidden="false" customHeight="false" outlineLevel="0" collapsed="false">
      <c r="A51" s="35"/>
      <c r="B51" s="35"/>
      <c r="C51" s="35"/>
      <c r="D51" s="36"/>
      <c r="E51" s="42"/>
      <c r="F51" s="37"/>
      <c r="G51" s="38" t="n">
        <f aca="false">IF(C51="Contract",1,IF(C51="FTE",$B$70,0))</f>
        <v>0</v>
      </c>
      <c r="H51" s="39" t="n">
        <f aca="false">F51*G51</f>
        <v>0</v>
      </c>
      <c r="I51" s="39" t="n">
        <f aca="false">D51*H51</f>
        <v>0</v>
      </c>
      <c r="J51" s="4"/>
    </row>
    <row r="52" customFormat="false" ht="15" hidden="false" customHeight="false" outlineLevel="0" collapsed="false">
      <c r="A52" s="35"/>
      <c r="B52" s="35"/>
      <c r="C52" s="35"/>
      <c r="D52" s="36"/>
      <c r="E52" s="42"/>
      <c r="F52" s="37"/>
      <c r="G52" s="38" t="n">
        <f aca="false">IF(C52="Contract",1,IF(C52="FTE",$B$70,0))</f>
        <v>0</v>
      </c>
      <c r="H52" s="39" t="n">
        <f aca="false">F52*G52</f>
        <v>0</v>
      </c>
      <c r="I52" s="39" t="n">
        <f aca="false">D52*H52</f>
        <v>0</v>
      </c>
      <c r="J52" s="4"/>
    </row>
    <row r="53" customFormat="false" ht="15" hidden="false" customHeight="false" outlineLevel="0" collapsed="false">
      <c r="A53" s="35"/>
      <c r="B53" s="35"/>
      <c r="C53" s="35"/>
      <c r="D53" s="36"/>
      <c r="E53" s="42"/>
      <c r="F53" s="37"/>
      <c r="G53" s="38" t="n">
        <f aca="false">IF(C53="Contract",1,IF(C53="FTE",$B$70,0))</f>
        <v>0</v>
      </c>
      <c r="H53" s="39" t="n">
        <f aca="false">F53*G53</f>
        <v>0</v>
      </c>
      <c r="I53" s="39" t="n">
        <f aca="false">D53*H53</f>
        <v>0</v>
      </c>
      <c r="J53" s="4"/>
    </row>
    <row r="54" customFormat="false" ht="15" hidden="false" customHeight="false" outlineLevel="0" collapsed="false">
      <c r="A54" s="35"/>
      <c r="B54" s="35"/>
      <c r="C54" s="35"/>
      <c r="D54" s="36"/>
      <c r="E54" s="42"/>
      <c r="F54" s="37"/>
      <c r="G54" s="38" t="n">
        <f aca="false">IF(C54="Contract",1,IF(C54="FTE",$B$70,0))</f>
        <v>0</v>
      </c>
      <c r="H54" s="39" t="n">
        <f aca="false">F54*G54</f>
        <v>0</v>
      </c>
      <c r="I54" s="39" t="n">
        <f aca="false">D54*H54</f>
        <v>0</v>
      </c>
      <c r="J54" s="4"/>
    </row>
    <row r="55" customFormat="false" ht="15" hidden="false" customHeight="false" outlineLevel="0" collapsed="false">
      <c r="A55" s="35"/>
      <c r="B55" s="35"/>
      <c r="C55" s="35"/>
      <c r="D55" s="36"/>
      <c r="E55" s="42"/>
      <c r="F55" s="37"/>
      <c r="G55" s="38" t="n">
        <f aca="false">IF(C55="Contract",1,IF(C55="FTE",$B$70,0))</f>
        <v>0</v>
      </c>
      <c r="H55" s="39" t="n">
        <f aca="false">F55*G55</f>
        <v>0</v>
      </c>
      <c r="I55" s="39" t="n">
        <f aca="false">D55*H55</f>
        <v>0</v>
      </c>
      <c r="J55" s="4"/>
    </row>
    <row r="56" customFormat="false" ht="15" hidden="false" customHeight="false" outlineLevel="0" collapsed="false">
      <c r="A56" s="35"/>
      <c r="B56" s="35"/>
      <c r="C56" s="35"/>
      <c r="D56" s="36"/>
      <c r="E56" s="42"/>
      <c r="F56" s="37"/>
      <c r="G56" s="38" t="n">
        <f aca="false">IF(C56="Contract",1,IF(C56="FTE",$B$70,0))</f>
        <v>0</v>
      </c>
      <c r="H56" s="39" t="n">
        <f aca="false">F56*G56</f>
        <v>0</v>
      </c>
      <c r="I56" s="39" t="n">
        <f aca="false">D56*H56</f>
        <v>0</v>
      </c>
      <c r="J56" s="4"/>
    </row>
    <row r="57" customFormat="false" ht="15" hidden="false" customHeight="false" outlineLevel="0" collapsed="false">
      <c r="A57" s="35"/>
      <c r="B57" s="35"/>
      <c r="C57" s="35"/>
      <c r="D57" s="36"/>
      <c r="E57" s="42"/>
      <c r="F57" s="37"/>
      <c r="G57" s="38" t="n">
        <f aca="false">IF(C57="Contract",1,IF(C57="FTE",$B$70,0))</f>
        <v>0</v>
      </c>
      <c r="H57" s="39" t="n">
        <f aca="false">F57*G57</f>
        <v>0</v>
      </c>
      <c r="I57" s="39" t="n">
        <f aca="false">D57*H57</f>
        <v>0</v>
      </c>
      <c r="J57" s="4"/>
    </row>
    <row r="58" customFormat="false" ht="15" hidden="false" customHeight="false" outlineLevel="0" collapsed="false">
      <c r="A58" s="35"/>
      <c r="B58" s="35"/>
      <c r="C58" s="35"/>
      <c r="D58" s="36"/>
      <c r="E58" s="42"/>
      <c r="F58" s="37"/>
      <c r="G58" s="38" t="n">
        <f aca="false">IF(C58="Contract",1,IF(C58="FTE",$B$70,0))</f>
        <v>0</v>
      </c>
      <c r="H58" s="39" t="n">
        <f aca="false">F58*G58</f>
        <v>0</v>
      </c>
      <c r="I58" s="39" t="n">
        <f aca="false">D58*H58</f>
        <v>0</v>
      </c>
      <c r="J58" s="4"/>
    </row>
    <row r="59" customFormat="false" ht="15" hidden="false" customHeight="false" outlineLevel="0" collapsed="false">
      <c r="A59" s="35"/>
      <c r="B59" s="35"/>
      <c r="C59" s="35"/>
      <c r="D59" s="36"/>
      <c r="E59" s="42"/>
      <c r="F59" s="37"/>
      <c r="G59" s="38" t="n">
        <f aca="false">IF(C59="Contract",1,IF(C59="FTE",$B$70,0))</f>
        <v>0</v>
      </c>
      <c r="H59" s="39" t="n">
        <f aca="false">F59*G59</f>
        <v>0</v>
      </c>
      <c r="I59" s="39" t="n">
        <f aca="false">D59*H59</f>
        <v>0</v>
      </c>
      <c r="J59" s="4"/>
    </row>
    <row r="60" customFormat="false" ht="15" hidden="false" customHeight="false" outlineLevel="0" collapsed="false">
      <c r="A60" s="35"/>
      <c r="B60" s="35"/>
      <c r="C60" s="35"/>
      <c r="D60" s="36"/>
      <c r="E60" s="42"/>
      <c r="F60" s="37"/>
      <c r="G60" s="38" t="n">
        <f aca="false">IF(C60="Contract",1,IF(C60="FTE",$B$70,0))</f>
        <v>0</v>
      </c>
      <c r="H60" s="39" t="n">
        <f aca="false">F60*G60</f>
        <v>0</v>
      </c>
      <c r="I60" s="39" t="n">
        <f aca="false">D60*H60</f>
        <v>0</v>
      </c>
      <c r="J60" s="4"/>
    </row>
    <row r="61" customFormat="false" ht="15" hidden="false" customHeight="false" outlineLevel="0" collapsed="false">
      <c r="A61" s="35"/>
      <c r="B61" s="35"/>
      <c r="C61" s="35"/>
      <c r="D61" s="36"/>
      <c r="E61" s="42"/>
      <c r="F61" s="37"/>
      <c r="G61" s="38" t="n">
        <f aca="false">IF(C61="Contract",1,IF(C61="FTE",$B$70,0))</f>
        <v>0</v>
      </c>
      <c r="H61" s="39" t="n">
        <f aca="false">F61*G61</f>
        <v>0</v>
      </c>
      <c r="I61" s="39" t="n">
        <f aca="false">D61*H61</f>
        <v>0</v>
      </c>
      <c r="J61" s="4"/>
    </row>
    <row r="62" customFormat="false" ht="15" hidden="false" customHeight="false" outlineLevel="0" collapsed="false">
      <c r="A62" s="35"/>
      <c r="B62" s="35"/>
      <c r="C62" s="35"/>
      <c r="D62" s="36"/>
      <c r="E62" s="42"/>
      <c r="F62" s="37"/>
      <c r="G62" s="38" t="n">
        <f aca="false">IF(C62="Contract",1,IF(C62="FTE",$B$70,0))</f>
        <v>0</v>
      </c>
      <c r="H62" s="39" t="n">
        <f aca="false">F62*G62</f>
        <v>0</v>
      </c>
      <c r="I62" s="39" t="n">
        <f aca="false">D62*H62</f>
        <v>0</v>
      </c>
      <c r="J62" s="4"/>
    </row>
    <row r="63" customFormat="false" ht="15" hidden="false" customHeight="false" outlineLevel="0" collapsed="false">
      <c r="A63" s="35"/>
      <c r="B63" s="35"/>
      <c r="C63" s="35"/>
      <c r="D63" s="36"/>
      <c r="E63" s="42"/>
      <c r="F63" s="37"/>
      <c r="G63" s="38" t="n">
        <f aca="false">IF(C63="Contract",1,IF(C63="FTE",$B$70,0))</f>
        <v>0</v>
      </c>
      <c r="H63" s="39" t="n">
        <f aca="false">F63*G63</f>
        <v>0</v>
      </c>
      <c r="I63" s="39" t="n">
        <f aca="false">D63*H63</f>
        <v>0</v>
      </c>
      <c r="J63" s="4"/>
    </row>
    <row r="64" customFormat="false" ht="15" hidden="false" customHeight="false" outlineLevel="0" collapsed="false">
      <c r="A64" s="35"/>
      <c r="B64" s="35"/>
      <c r="C64" s="35"/>
      <c r="D64" s="36"/>
      <c r="E64" s="42"/>
      <c r="F64" s="37"/>
      <c r="G64" s="38" t="n">
        <f aca="false">IF(C64="Contract",1,IF(C64="FTE",$B$70,0))</f>
        <v>0</v>
      </c>
      <c r="H64" s="39" t="n">
        <f aca="false">F64*G64</f>
        <v>0</v>
      </c>
      <c r="I64" s="39" t="n">
        <f aca="false">D64*H64</f>
        <v>0</v>
      </c>
      <c r="J64" s="4"/>
    </row>
    <row r="65" customFormat="false" ht="15" hidden="false" customHeight="false" outlineLevel="0" collapsed="false">
      <c r="A65" s="35"/>
      <c r="B65" s="35"/>
      <c r="C65" s="35"/>
      <c r="D65" s="36"/>
      <c r="E65" s="42"/>
      <c r="F65" s="37"/>
      <c r="G65" s="38" t="n">
        <f aca="false">IF(C65="Contract",1,IF(C65="FTE",$B$70,0))</f>
        <v>0</v>
      </c>
      <c r="H65" s="39" t="n">
        <f aca="false">F65*G65</f>
        <v>0</v>
      </c>
      <c r="I65" s="39" t="n">
        <f aca="false">D65*H65</f>
        <v>0</v>
      </c>
      <c r="J65" s="4"/>
    </row>
    <row r="66" customFormat="false" ht="15" hidden="false" customHeight="false" outlineLevel="0" collapsed="false">
      <c r="A66" s="35"/>
      <c r="B66" s="35"/>
      <c r="C66" s="35"/>
      <c r="D66" s="36"/>
      <c r="E66" s="42"/>
      <c r="F66" s="37"/>
      <c r="G66" s="38" t="n">
        <f aca="false">IF(C66="Contract",1,IF(C66="FTE",$B$70,0))</f>
        <v>0</v>
      </c>
      <c r="H66" s="39" t="n">
        <f aca="false">F66*G66</f>
        <v>0</v>
      </c>
      <c r="I66" s="39" t="n">
        <f aca="false">D66*H66</f>
        <v>0</v>
      </c>
      <c r="J66" s="4"/>
    </row>
    <row r="67" customFormat="false" ht="15" hidden="false" customHeight="false" outlineLevel="0" collapsed="false">
      <c r="A67" s="13" t="s">
        <v>210</v>
      </c>
      <c r="D67" s="40" t="n">
        <f aca="false">SUM(D37:D66)</f>
        <v>1</v>
      </c>
      <c r="I67" s="41" t="n">
        <f aca="false">SUM(I37:I66)</f>
        <v>237.5</v>
      </c>
    </row>
    <row r="70" customFormat="false" ht="15" hidden="false" customHeight="false" outlineLevel="0" collapsed="false">
      <c r="A70" s="13" t="s">
        <v>211</v>
      </c>
      <c r="B70" s="43" t="n">
        <v>1.25</v>
      </c>
    </row>
    <row r="71" customFormat="false" ht="15" hidden="false" customHeight="false" outlineLevel="0" collapsed="false">
      <c r="A71" s="2" t="s">
        <v>212</v>
      </c>
    </row>
  </sheetData>
  <dataValidations count="1">
    <dataValidation allowBlank="true" errorStyle="stop" operator="between" showDropDown="false" showErrorMessage="false" showInputMessage="false" sqref="C17:C31 C37:C66" type="list">
      <formula1>"FTE,Contract"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22"/>
    <col collapsed="false" customWidth="true" hidden="false" outlineLevel="0" max="3" min="3" style="0" width="14"/>
    <col collapsed="false" customWidth="true" hidden="false" outlineLevel="0" max="4" min="4" style="0" width="62"/>
  </cols>
  <sheetData>
    <row r="1" customFormat="false" ht="17.35" hidden="false" customHeight="false" outlineLevel="0" collapsed="false">
      <c r="A1" s="1" t="s">
        <v>213</v>
      </c>
    </row>
    <row r="2" customFormat="false" ht="15" hidden="false" customHeight="false" outlineLevel="0" collapsed="false">
      <c r="A2" s="2" t="s">
        <v>214</v>
      </c>
    </row>
    <row r="4" customFormat="false" ht="15" hidden="false" customHeight="false" outlineLevel="0" collapsed="false">
      <c r="A4" s="3" t="s">
        <v>215</v>
      </c>
      <c r="B4" s="3" t="s">
        <v>3</v>
      </c>
      <c r="C4" s="3" t="s">
        <v>47</v>
      </c>
      <c r="D4" s="3" t="s">
        <v>216</v>
      </c>
    </row>
    <row r="5" customFormat="false" ht="15" hidden="false" customHeight="false" outlineLevel="0" collapsed="false">
      <c r="A5" s="14" t="s">
        <v>217</v>
      </c>
      <c r="B5" s="15"/>
      <c r="C5" s="15"/>
      <c r="D5" s="15"/>
    </row>
    <row r="6" customFormat="false" ht="15" hidden="false" customHeight="false" outlineLevel="0" collapsed="false">
      <c r="A6" s="4" t="s">
        <v>218</v>
      </c>
      <c r="B6" s="4" t="str">
        <f aca="false">Assumptions!$B$12&amp;", "&amp;Assumptions!$B$13&amp;", "&amp;TEXT(Assumptions!$B$19,"0")&amp;"B params"</f>
        <v>H100 SXM, BF16, 8B params</v>
      </c>
      <c r="C6" s="4"/>
      <c r="D6" s="4" t="s">
        <v>219</v>
      </c>
    </row>
    <row r="7" customFormat="false" ht="15" hidden="false" customHeight="false" outlineLevel="0" collapsed="false">
      <c r="A7" s="4" t="s">
        <v>220</v>
      </c>
      <c r="B7" s="44" t="n">
        <f aca="false">2*Assumptions!$B$19*1000000000</f>
        <v>16000000000</v>
      </c>
      <c r="C7" s="4" t="s">
        <v>221</v>
      </c>
      <c r="D7" s="4" t="s">
        <v>222</v>
      </c>
    </row>
    <row r="8" customFormat="false" ht="15" hidden="false" customHeight="false" outlineLevel="0" collapsed="false">
      <c r="A8" s="4" t="s">
        <v>223</v>
      </c>
      <c r="B8" s="44" t="n">
        <f aca="false">Assumptions!$B$16*1000000000000*Assumptions!$B$17</f>
        <v>395600000000000</v>
      </c>
      <c r="C8" s="4" t="s">
        <v>224</v>
      </c>
      <c r="D8" s="4" t="s">
        <v>225</v>
      </c>
    </row>
    <row r="9" customFormat="false" ht="15" hidden="false" customHeight="false" outlineLevel="0" collapsed="false">
      <c r="A9" s="4" t="s">
        <v>226</v>
      </c>
      <c r="B9" s="23" t="n">
        <f aca="false">B8/B7/Assumptions!$B$20</f>
        <v>20604.1666666667</v>
      </c>
      <c r="C9" s="4" t="s">
        <v>227</v>
      </c>
      <c r="D9" s="4" t="s">
        <v>228</v>
      </c>
    </row>
    <row r="10" customFormat="false" ht="15" hidden="false" customHeight="false" outlineLevel="0" collapsed="false">
      <c r="A10" s="4" t="s">
        <v>229</v>
      </c>
      <c r="B10" s="23" t="n">
        <f aca="false">B9*3600</f>
        <v>74175000</v>
      </c>
      <c r="C10" s="4" t="s">
        <v>102</v>
      </c>
      <c r="D10" s="4"/>
    </row>
    <row r="11" customFormat="false" ht="15" hidden="false" customHeight="false" outlineLevel="0" collapsed="false">
      <c r="A11" s="4" t="s">
        <v>230</v>
      </c>
      <c r="B11" s="45" t="n">
        <f aca="false">Assumptions!$B$14/(B10/1000000)*Assumptions!$B$21</f>
        <v>0.0337040781934614</v>
      </c>
      <c r="C11" s="4" t="s">
        <v>52</v>
      </c>
      <c r="D11" s="4" t="s">
        <v>231</v>
      </c>
    </row>
    <row r="12" customFormat="false" ht="15" hidden="false" customHeight="false" outlineLevel="0" collapsed="false">
      <c r="A12" s="4" t="s">
        <v>232</v>
      </c>
      <c r="B12" s="45" t="n">
        <f aca="false">B11/Assumptions!$B$18</f>
        <v>0.056173463655769</v>
      </c>
      <c r="C12" s="4" t="s">
        <v>52</v>
      </c>
      <c r="D12" s="4" t="s">
        <v>233</v>
      </c>
    </row>
    <row r="13" customFormat="false" ht="15" hidden="false" customHeight="false" outlineLevel="0" collapsed="false">
      <c r="A13" s="14" t="s">
        <v>234</v>
      </c>
      <c r="B13" s="15"/>
      <c r="C13" s="15"/>
      <c r="D13" s="15"/>
    </row>
    <row r="14" customFormat="false" ht="15" hidden="false" customHeight="false" outlineLevel="0" collapsed="false">
      <c r="A14" s="4" t="s">
        <v>235</v>
      </c>
      <c r="B14" s="46" t="n">
        <f aca="false">Assumptions!$B$6</f>
        <v>0.042</v>
      </c>
      <c r="C14" s="4" t="s">
        <v>52</v>
      </c>
      <c r="D14" s="4" t="s">
        <v>236</v>
      </c>
    </row>
    <row r="15" customFormat="false" ht="15" hidden="false" customHeight="false" outlineLevel="0" collapsed="false">
      <c r="A15" s="4" t="s">
        <v>237</v>
      </c>
      <c r="B15" s="47" t="n">
        <f aca="false">Assumptions!$B$42*Assumptions!$B$43+(1-Assumptions!$B$42)*Assumptions!$B$44</f>
        <v>0.038</v>
      </c>
      <c r="C15" s="4" t="s">
        <v>83</v>
      </c>
      <c r="D15" s="4" t="s">
        <v>238</v>
      </c>
    </row>
    <row r="16" customFormat="false" ht="15" hidden="false" customHeight="false" outlineLevel="0" collapsed="false">
      <c r="A16" s="4" t="s">
        <v>239</v>
      </c>
      <c r="B16" s="45" t="n">
        <f aca="false">B14*(1-B15)</f>
        <v>0.040404</v>
      </c>
      <c r="C16" s="4" t="s">
        <v>52</v>
      </c>
      <c r="D16" s="4" t="s">
        <v>240</v>
      </c>
    </row>
    <row r="17" customFormat="false" ht="15" hidden="false" customHeight="false" outlineLevel="0" collapsed="false">
      <c r="A17" s="4" t="s">
        <v>241</v>
      </c>
      <c r="B17" s="45" t="n">
        <f aca="false">B16-B12</f>
        <v>-0.015769463655769</v>
      </c>
      <c r="C17" s="4" t="s">
        <v>52</v>
      </c>
      <c r="D17" s="4" t="s">
        <v>242</v>
      </c>
    </row>
    <row r="18" customFormat="false" ht="15" hidden="false" customHeight="false" outlineLevel="0" collapsed="false">
      <c r="A18" s="4" t="s">
        <v>243</v>
      </c>
      <c r="B18" s="48" t="n">
        <f aca="false">IF(B16=0,0,B17/B16)</f>
        <v>-0.390294615774899</v>
      </c>
      <c r="C18" s="4" t="s">
        <v>83</v>
      </c>
      <c r="D18" s="4"/>
    </row>
    <row r="19" customFormat="false" ht="15" hidden="false" customHeight="false" outlineLevel="0" collapsed="false">
      <c r="A19" s="4" t="s">
        <v>244</v>
      </c>
      <c r="B19" s="48" t="n">
        <f aca="false">IF(B16=0,0,1-(Assumptions!$B$14*2*Assumptions!$B$19*1000000000*Assumptions!$B$20/(INDEX(Prices!$F$6:$F$9,MATCH(Assumptions!$B$12,Prices!$A$6:$A$9,0))*1000000000000*Assumptions!$B$17*3600*Assumptions!$B$18)*1000000)*Assumptions!$B$21/B16)</f>
        <v>-0.390294615774899</v>
      </c>
      <c r="C19" s="4" t="s">
        <v>83</v>
      </c>
      <c r="D19" s="4" t="s">
        <v>245</v>
      </c>
    </row>
    <row r="20" customFormat="false" ht="15" hidden="false" customHeight="false" outlineLevel="0" collapsed="false">
      <c r="A20" s="4" t="s">
        <v>246</v>
      </c>
      <c r="B20" s="48" t="n">
        <f aca="false">IF(B16=0,0,1-(Assumptions!$B$14*2*Assumptions!$B$19*1000000000*Assumptions!$B$20/(INDEX(Prices!$G$6:$G$9,MATCH(Assumptions!$B$12,Prices!$A$6:$A$9,0))*1000000000000*Assumptions!$B$17*3600*Assumptions!$B$18)*1000000)*Assumptions!$B$21/B16)</f>
        <v>0.305203954016486</v>
      </c>
      <c r="C20" s="4" t="s">
        <v>83</v>
      </c>
      <c r="D20" s="4" t="s">
        <v>247</v>
      </c>
    </row>
    <row r="21" customFormat="false" ht="15" hidden="false" customHeight="false" outlineLevel="0" collapsed="false">
      <c r="A21" s="4" t="s">
        <v>248</v>
      </c>
      <c r="B21" s="22" t="n">
        <f aca="false">B10/1000000*B16</f>
        <v>2.9969667</v>
      </c>
      <c r="C21" s="4" t="s">
        <v>77</v>
      </c>
      <c r="D21" s="4" t="s">
        <v>249</v>
      </c>
    </row>
    <row r="22" customFormat="false" ht="15" hidden="false" customHeight="false" outlineLevel="0" collapsed="false">
      <c r="A22" s="4" t="s">
        <v>250</v>
      </c>
      <c r="B22" s="22" t="n">
        <f aca="false">B21*Assumptions!$B$18</f>
        <v>1.79818002</v>
      </c>
      <c r="C22" s="4" t="s">
        <v>77</v>
      </c>
      <c r="D22" s="4" t="s">
        <v>251</v>
      </c>
    </row>
    <row r="23" customFormat="false" ht="15" hidden="false" customHeight="false" outlineLevel="0" collapsed="false">
      <c r="A23" s="4" t="s">
        <v>252</v>
      </c>
      <c r="B23" s="34" t="n">
        <f aca="false">B16/1000000*Assumptions!$B$16*1000000000000*Assumptions!$B$17*3600*Assumptions!$B$18/(Assumptions!$B$14*2*Assumptions!$B$20*Assumptions!$B$21)/1000000000</f>
        <v>5.754176064</v>
      </c>
      <c r="C23" s="4" t="s">
        <v>88</v>
      </c>
      <c r="D23" s="4" t="s">
        <v>253</v>
      </c>
    </row>
    <row r="24" customFormat="false" ht="15" hidden="false" customHeight="false" outlineLevel="0" collapsed="false">
      <c r="A24" s="4" t="s">
        <v>254</v>
      </c>
      <c r="B24" s="47" t="n">
        <f aca="false">IF(B16=0,0,B11/B16)</f>
        <v>0.834176769464939</v>
      </c>
      <c r="C24" s="4" t="s">
        <v>83</v>
      </c>
      <c r="D24" s="4" t="s">
        <v>255</v>
      </c>
    </row>
    <row r="25" customFormat="false" ht="15" hidden="false" customHeight="false" outlineLevel="0" collapsed="false">
      <c r="A25" s="14" t="s">
        <v>256</v>
      </c>
      <c r="B25" s="15"/>
      <c r="C25" s="15"/>
      <c r="D25" s="15"/>
    </row>
    <row r="26" customFormat="false" ht="15" hidden="false" customHeight="false" outlineLevel="0" collapsed="false">
      <c r="A26" s="4" t="s">
        <v>257</v>
      </c>
      <c r="B26" s="23" t="n">
        <f aca="false">Assumptions!$B$8/(Assumptions!$B$9*3600)/(Assumptions!$B$6/1000000)</f>
        <v>4629.62962962963</v>
      </c>
      <c r="C26" s="4" t="s">
        <v>102</v>
      </c>
      <c r="D26" s="4" t="s">
        <v>258</v>
      </c>
    </row>
    <row r="27" customFormat="false" ht="15" hidden="false" customHeight="false" outlineLevel="0" collapsed="false">
      <c r="A27" s="4" t="s">
        <v>259</v>
      </c>
      <c r="B27" s="29" t="n">
        <f aca="false">LiveTest!$E$13</f>
        <v>452.5</v>
      </c>
      <c r="C27" s="4" t="s">
        <v>102</v>
      </c>
      <c r="D27" s="4" t="s">
        <v>260</v>
      </c>
    </row>
    <row r="28" customFormat="false" ht="15" hidden="false" customHeight="false" outlineLevel="0" collapsed="false">
      <c r="A28" s="4" t="s">
        <v>261</v>
      </c>
      <c r="B28" s="29" t="n">
        <f aca="false">Assumptions!$B$24</f>
        <v>913.166666666667</v>
      </c>
      <c r="C28" s="4" t="s">
        <v>102</v>
      </c>
      <c r="D28" s="4" t="str">
        <f aca="false">"Source: "&amp;Assumptions!$B$23</f>
        <v>Source: Live test</v>
      </c>
    </row>
    <row r="29" customFormat="false" ht="15" hidden="false" customHeight="false" outlineLevel="0" collapsed="false">
      <c r="A29" s="4" t="s">
        <v>262</v>
      </c>
      <c r="B29" s="49" t="n">
        <f aca="false">B28/1000000*B14</f>
        <v>3.8353E-005</v>
      </c>
      <c r="C29" s="4" t="s">
        <v>65</v>
      </c>
      <c r="D29" s="4"/>
    </row>
    <row r="30" customFormat="false" ht="15" hidden="false" customHeight="false" outlineLevel="0" collapsed="false">
      <c r="A30" s="4" t="s">
        <v>263</v>
      </c>
      <c r="B30" s="49" t="n">
        <f aca="false">B28/1000000*B12</f>
        <v>5.12957345616597E-005</v>
      </c>
      <c r="C30" s="4" t="s">
        <v>65</v>
      </c>
      <c r="D30" s="4"/>
    </row>
    <row r="31" customFormat="false" ht="15" hidden="false" customHeight="false" outlineLevel="0" collapsed="false">
      <c r="A31" s="4" t="s">
        <v>264</v>
      </c>
      <c r="B31" s="23" t="n">
        <f aca="false">IF(B29=0,0,1/B29)</f>
        <v>26073.579641749</v>
      </c>
      <c r="C31" s="4" t="s">
        <v>265</v>
      </c>
      <c r="D31" s="4"/>
    </row>
    <row r="32" customFormat="false" ht="15" hidden="false" customHeight="false" outlineLevel="0" collapsed="false">
      <c r="A32" s="4" t="s">
        <v>266</v>
      </c>
      <c r="B32" s="23" t="n">
        <f aca="false">IF(B29=0,0,Assumptions!$B$10/B29)</f>
        <v>130367.898208745</v>
      </c>
      <c r="C32" s="4" t="s">
        <v>265</v>
      </c>
      <c r="D32" s="4"/>
    </row>
    <row r="33" customFormat="false" ht="15" hidden="false" customHeight="false" outlineLevel="0" collapsed="false">
      <c r="A33" s="14" t="s">
        <v>267</v>
      </c>
      <c r="B33" s="15"/>
      <c r="C33" s="15"/>
      <c r="D33" s="15"/>
    </row>
    <row r="34" customFormat="false" ht="15" hidden="false" customHeight="false" outlineLevel="0" collapsed="false">
      <c r="A34" s="4" t="s">
        <v>268</v>
      </c>
      <c r="B34" s="50" t="str">
        <f aca="false">Assumptions!$B$25</f>
        <v>Claude Haiku 4.5</v>
      </c>
      <c r="C34" s="4"/>
      <c r="D34" s="4" t="s">
        <v>269</v>
      </c>
    </row>
    <row r="35" customFormat="false" ht="15" hidden="false" customHeight="false" outlineLevel="0" collapsed="false">
      <c r="A35" s="4" t="s">
        <v>270</v>
      </c>
      <c r="B35" s="49" t="n">
        <f aca="false">(B28+Assumptions!$B$27)/1000000*INDEX(Prices!$B$14:$B$21,MATCH(Assumptions!$B$25,Prices!$A$14:$A$21,0))+(INDEX(Prices!$E$14:$E$21,MATCH(Assumptions!$B$25,Prices!$A$14:$A$21,0))+INDEX(Prices!$F$14:$F$21,MATCH(Assumptions!$B$25,Prices!$A$14:$A$21,0)))/1000000*INDEX(Prices!$C$14:$C$21,MATCH(Assumptions!$B$25,Prices!$A$14:$A$21,0))</f>
        <v>0.00260416666666667</v>
      </c>
      <c r="C35" s="4" t="s">
        <v>65</v>
      </c>
      <c r="D35" s="4" t="s">
        <v>271</v>
      </c>
    </row>
    <row r="36" customFormat="false" ht="15" hidden="false" customHeight="false" outlineLevel="0" collapsed="false">
      <c r="A36" s="4" t="s">
        <v>272</v>
      </c>
      <c r="B36" s="51" t="n">
        <f aca="false">IF(B29=0,0,B35/B29)</f>
        <v>67.8999469837214</v>
      </c>
      <c r="C36" s="4" t="s">
        <v>92</v>
      </c>
      <c r="D36" s="4" t="s">
        <v>273</v>
      </c>
    </row>
    <row r="37" customFormat="false" ht="15" hidden="false" customHeight="false" outlineLevel="0" collapsed="false">
      <c r="A37" s="4" t="s">
        <v>274</v>
      </c>
      <c r="B37" s="50" t="str">
        <f aca="false">Assumptions!$B$26</f>
        <v>GPT-5.6 Terra</v>
      </c>
      <c r="C37" s="4"/>
      <c r="D37" s="4" t="s">
        <v>269</v>
      </c>
    </row>
    <row r="38" customFormat="false" ht="15" hidden="false" customHeight="false" outlineLevel="0" collapsed="false">
      <c r="A38" s="4" t="s">
        <v>275</v>
      </c>
      <c r="B38" s="49" t="n">
        <f aca="false">(B28+Assumptions!$B$27)/1000000*INDEX(Prices!$B$14:$B$21,MATCH(Assumptions!$B$26,Prices!$A$14:$A$21,0))+(INDEX(Prices!$E$14:$E$21,MATCH(Assumptions!$B$26,Prices!$A$14:$A$21,0))+INDEX(Prices!$F$14:$F$21,MATCH(Assumptions!$B$26,Prices!$A$14:$A$21,0)))/1000000*INDEX(Prices!$C$14:$C$21,MATCH(Assumptions!$B$26,Prices!$A$14:$A$21,0))</f>
        <v>0.00295033333333333</v>
      </c>
      <c r="C38" s="4" t="s">
        <v>65</v>
      </c>
      <c r="D38" s="4" t="s">
        <v>276</v>
      </c>
    </row>
    <row r="39" customFormat="false" ht="15" hidden="false" customHeight="false" outlineLevel="0" collapsed="false">
      <c r="A39" s="4" t="s">
        <v>277</v>
      </c>
      <c r="B39" s="51" t="n">
        <f aca="false">IF(B29=0,0,B38/B29)</f>
        <v>76.9257511363735</v>
      </c>
      <c r="C39" s="4" t="s">
        <v>92</v>
      </c>
      <c r="D39" s="4" t="s">
        <v>278</v>
      </c>
    </row>
    <row r="40" customFormat="false" ht="15" hidden="false" customHeight="false" outlineLevel="0" collapsed="false">
      <c r="A40" s="14" t="s">
        <v>279</v>
      </c>
      <c r="B40" s="15"/>
      <c r="C40" s="15"/>
      <c r="D40" s="15"/>
    </row>
    <row r="41" customFormat="false" ht="15" hidden="false" customHeight="false" outlineLevel="0" collapsed="false">
      <c r="A41" s="4" t="s">
        <v>280</v>
      </c>
      <c r="B41" s="47" t="n">
        <f aca="false">Assumptions!$B$14/Assumptions!$B$15</f>
        <v>0.833333333333333</v>
      </c>
      <c r="C41" s="4" t="s">
        <v>83</v>
      </c>
      <c r="D41" s="4"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8" min="2" style="0" width="12"/>
  </cols>
  <sheetData>
    <row r="1" customFormat="false" ht="17.35" hidden="false" customHeight="false" outlineLevel="0" collapsed="false">
      <c r="A1" s="1" t="s">
        <v>282</v>
      </c>
    </row>
    <row r="2" customFormat="false" ht="15" hidden="false" customHeight="false" outlineLevel="0" collapsed="false">
      <c r="A2" s="2" t="s">
        <v>283</v>
      </c>
    </row>
    <row r="4" customFormat="false" ht="15" hidden="false" customHeight="false" outlineLevel="0" collapsed="false">
      <c r="A4" s="13" t="s">
        <v>284</v>
      </c>
    </row>
    <row r="5" customFormat="false" ht="15" hidden="false" customHeight="false" outlineLevel="0" collapsed="false">
      <c r="A5" s="13" t="s">
        <v>285</v>
      </c>
      <c r="B5" s="24" t="n">
        <v>0.3</v>
      </c>
      <c r="C5" s="24" t="n">
        <v>0.45</v>
      </c>
      <c r="D5" s="24" t="n">
        <v>0.6</v>
      </c>
      <c r="E5" s="24" t="n">
        <v>0.75</v>
      </c>
      <c r="F5" s="24" t="n">
        <v>0.9</v>
      </c>
    </row>
    <row r="6" customFormat="false" ht="15" hidden="false" customHeight="false" outlineLevel="0" collapsed="false">
      <c r="A6" s="19" t="n">
        <v>1</v>
      </c>
      <c r="B6" s="48" t="n">
        <f aca="false">IF(UnitEcon!$B$16=0,0,1-(Assumptions!$B$14*2*$A6*1000000000*Assumptions!$B$20/(Assumptions!$B$16*1000000000000*Assumptions!$B$17*3600*B$5)*1000000*Assumptions!$B$21)/UnitEcon!$B$16)</f>
        <v>0.652426346056275</v>
      </c>
      <c r="C6" s="48" t="n">
        <f aca="false">IF(UnitEcon!$B$16=0,0,1-(Assumptions!$B$14*2*$A6*1000000000*Assumptions!$B$20/(Assumptions!$B$16*1000000000000*Assumptions!$B$17*3600*C$5)*1000000*Assumptions!$B$21)/UnitEcon!$B$16)</f>
        <v>0.768284230704184</v>
      </c>
      <c r="D6" s="48" t="n">
        <f aca="false">IF(UnitEcon!$B$16=0,0,1-(Assumptions!$B$14*2*$A6*1000000000*Assumptions!$B$20/(Assumptions!$B$16*1000000000000*Assumptions!$B$17*3600*D$5)*1000000*Assumptions!$B$21)/UnitEcon!$B$16)</f>
        <v>0.826213173028138</v>
      </c>
      <c r="E6" s="48" t="n">
        <f aca="false">IF(UnitEcon!$B$16=0,0,1-(Assumptions!$B$14*2*$A6*1000000000*Assumptions!$B$20/(Assumptions!$B$16*1000000000000*Assumptions!$B$17*3600*E$5)*1000000*Assumptions!$B$21)/UnitEcon!$B$16)</f>
        <v>0.86097053842251</v>
      </c>
      <c r="F6" s="48" t="n">
        <f aca="false">IF(UnitEcon!$B$16=0,0,1-(Assumptions!$B$14*2*$A6*1000000000*Assumptions!$B$20/(Assumptions!$B$16*1000000000000*Assumptions!$B$17*3600*F$5)*1000000*Assumptions!$B$21)/UnitEcon!$B$16)</f>
        <v>0.884142115352092</v>
      </c>
    </row>
    <row r="7" customFormat="false" ht="15" hidden="false" customHeight="false" outlineLevel="0" collapsed="false">
      <c r="A7" s="19" t="n">
        <v>3</v>
      </c>
      <c r="B7" s="48" t="n">
        <f aca="false">IF(UnitEcon!$B$16=0,0,1-(Assumptions!$B$14*2*$A7*1000000000*Assumptions!$B$20/(Assumptions!$B$16*1000000000000*Assumptions!$B$17*3600*B$5)*1000000*Assumptions!$B$21)/UnitEcon!$B$16)</f>
        <v>-0.0427209618311741</v>
      </c>
      <c r="C7" s="48" t="n">
        <f aca="false">IF(UnitEcon!$B$16=0,0,1-(Assumptions!$B$14*2*$A7*1000000000*Assumptions!$B$20/(Assumptions!$B$16*1000000000000*Assumptions!$B$17*3600*C$5)*1000000*Assumptions!$B$21)/UnitEcon!$B$16)</f>
        <v>0.304852692112551</v>
      </c>
      <c r="D7" s="48" t="n">
        <f aca="false">IF(UnitEcon!$B$16=0,0,1-(Assumptions!$B$14*2*$A7*1000000000*Assumptions!$B$20/(Assumptions!$B$16*1000000000000*Assumptions!$B$17*3600*D$5)*1000000*Assumptions!$B$21)/UnitEcon!$B$16)</f>
        <v>0.478639519084413</v>
      </c>
      <c r="E7" s="48" t="n">
        <f aca="false">IF(UnitEcon!$B$16=0,0,1-(Assumptions!$B$14*2*$A7*1000000000*Assumptions!$B$20/(Assumptions!$B$16*1000000000000*Assumptions!$B$17*3600*E$5)*1000000*Assumptions!$B$21)/UnitEcon!$B$16)</f>
        <v>0.58291161526753</v>
      </c>
      <c r="F7" s="48" t="n">
        <f aca="false">IF(UnitEcon!$B$16=0,0,1-(Assumptions!$B$14*2*$A7*1000000000*Assumptions!$B$20/(Assumptions!$B$16*1000000000000*Assumptions!$B$17*3600*F$5)*1000000*Assumptions!$B$21)/UnitEcon!$B$16)</f>
        <v>0.652426346056275</v>
      </c>
    </row>
    <row r="8" customFormat="false" ht="15" hidden="false" customHeight="false" outlineLevel="0" collapsed="false">
      <c r="A8" s="19" t="n">
        <v>8</v>
      </c>
      <c r="B8" s="48" t="n">
        <f aca="false">IF(UnitEcon!$B$16=0,0,1-(Assumptions!$B$14*2*$A8*1000000000*Assumptions!$B$20/(Assumptions!$B$16*1000000000000*Assumptions!$B$17*3600*B$5)*1000000*Assumptions!$B$21)/UnitEcon!$B$16)</f>
        <v>-1.7805892315498</v>
      </c>
      <c r="C8" s="48" t="n">
        <f aca="false">IF(UnitEcon!$B$16=0,0,1-(Assumptions!$B$14*2*$A8*1000000000*Assumptions!$B$20/(Assumptions!$B$16*1000000000000*Assumptions!$B$17*3600*C$5)*1000000*Assumptions!$B$21)/UnitEcon!$B$16)</f>
        <v>-0.853726154366532</v>
      </c>
      <c r="D8" s="48" t="n">
        <f aca="false">IF(UnitEcon!$B$16=0,0,1-(Assumptions!$B$14*2*$A8*1000000000*Assumptions!$B$20/(Assumptions!$B$16*1000000000000*Assumptions!$B$17*3600*D$5)*1000000*Assumptions!$B$21)/UnitEcon!$B$16)</f>
        <v>-0.390294615774899</v>
      </c>
      <c r="E8" s="48" t="n">
        <f aca="false">IF(UnitEcon!$B$16=0,0,1-(Assumptions!$B$14*2*$A8*1000000000*Assumptions!$B$20/(Assumptions!$B$16*1000000000000*Assumptions!$B$17*3600*E$5)*1000000*Assumptions!$B$21)/UnitEcon!$B$16)</f>
        <v>-0.112235692619919</v>
      </c>
      <c r="F8" s="48" t="n">
        <f aca="false">IF(UnitEcon!$B$16=0,0,1-(Assumptions!$B$14*2*$A8*1000000000*Assumptions!$B$20/(Assumptions!$B$16*1000000000000*Assumptions!$B$17*3600*F$5)*1000000*Assumptions!$B$21)/UnitEcon!$B$16)</f>
        <v>0.0731369228167341</v>
      </c>
    </row>
    <row r="9" customFormat="false" ht="15" hidden="false" customHeight="false" outlineLevel="0" collapsed="false">
      <c r="A9" s="19" t="n">
        <v>14</v>
      </c>
      <c r="B9" s="48" t="n">
        <f aca="false">IF(UnitEcon!$B$16=0,0,1-(Assumptions!$B$14*2*$A9*1000000000*Assumptions!$B$20/(Assumptions!$B$16*1000000000000*Assumptions!$B$17*3600*B$5)*1000000*Assumptions!$B$21)/UnitEcon!$B$16)</f>
        <v>-3.86603115521215</v>
      </c>
      <c r="C9" s="48" t="n">
        <f aca="false">IF(UnitEcon!$B$16=0,0,1-(Assumptions!$B$14*2*$A9*1000000000*Assumptions!$B$20/(Assumptions!$B$16*1000000000000*Assumptions!$B$17*3600*C$5)*1000000*Assumptions!$B$21)/UnitEcon!$B$16)</f>
        <v>-2.24402077014143</v>
      </c>
      <c r="D9" s="48" t="n">
        <f aca="false">IF(UnitEcon!$B$16=0,0,1-(Assumptions!$B$14*2*$A9*1000000000*Assumptions!$B$20/(Assumptions!$B$16*1000000000000*Assumptions!$B$17*3600*D$5)*1000000*Assumptions!$B$21)/UnitEcon!$B$16)</f>
        <v>-1.43301557760607</v>
      </c>
      <c r="E9" s="48" t="n">
        <f aca="false">IF(UnitEcon!$B$16=0,0,1-(Assumptions!$B$14*2*$A9*1000000000*Assumptions!$B$20/(Assumptions!$B$16*1000000000000*Assumptions!$B$17*3600*E$5)*1000000*Assumptions!$B$21)/UnitEcon!$B$16)</f>
        <v>-0.946412462084858</v>
      </c>
      <c r="F9" s="48" t="n">
        <f aca="false">IF(UnitEcon!$B$16=0,0,1-(Assumptions!$B$14*2*$A9*1000000000*Assumptions!$B$20/(Assumptions!$B$16*1000000000000*Assumptions!$B$17*3600*F$5)*1000000*Assumptions!$B$21)/UnitEcon!$B$16)</f>
        <v>-0.622010385070715</v>
      </c>
    </row>
    <row r="10" customFormat="false" ht="15" hidden="false" customHeight="false" outlineLevel="0" collapsed="false">
      <c r="A10" s="19" t="n">
        <v>30</v>
      </c>
      <c r="B10" s="48" t="n">
        <f aca="false">IF(UnitEcon!$B$16=0,0,1-(Assumptions!$B$14*2*$A10*1000000000*Assumptions!$B$20/(Assumptions!$B$16*1000000000000*Assumptions!$B$17*3600*B$5)*1000000*Assumptions!$B$21)/UnitEcon!$B$16)</f>
        <v>-9.42720961831174</v>
      </c>
      <c r="C10" s="48" t="n">
        <f aca="false">IF(UnitEcon!$B$16=0,0,1-(Assumptions!$B$14*2*$A10*1000000000*Assumptions!$B$20/(Assumptions!$B$16*1000000000000*Assumptions!$B$17*3600*C$5)*1000000*Assumptions!$B$21)/UnitEcon!$B$16)</f>
        <v>-5.95147307887449</v>
      </c>
      <c r="D10" s="48" t="n">
        <f aca="false">IF(UnitEcon!$B$16=0,0,1-(Assumptions!$B$14*2*$A10*1000000000*Assumptions!$B$20/(Assumptions!$B$16*1000000000000*Assumptions!$B$17*3600*D$5)*1000000*Assumptions!$B$21)/UnitEcon!$B$16)</f>
        <v>-4.21360480915587</v>
      </c>
      <c r="E10" s="48" t="n">
        <f aca="false">IF(UnitEcon!$B$16=0,0,1-(Assumptions!$B$14*2*$A10*1000000000*Assumptions!$B$20/(Assumptions!$B$16*1000000000000*Assumptions!$B$17*3600*E$5)*1000000*Assumptions!$B$21)/UnitEcon!$B$16)</f>
        <v>-3.1708838473247</v>
      </c>
      <c r="F10" s="48" t="n">
        <f aca="false">IF(UnitEcon!$B$16=0,0,1-(Assumptions!$B$14*2*$A10*1000000000*Assumptions!$B$20/(Assumptions!$B$16*1000000000000*Assumptions!$B$17*3600*F$5)*1000000*Assumptions!$B$21)/UnitEcon!$B$16)</f>
        <v>-2.47573653943725</v>
      </c>
    </row>
    <row r="11" customFormat="false" ht="15" hidden="false" customHeight="false" outlineLevel="0" collapsed="false">
      <c r="A11" s="19" t="n">
        <v>70</v>
      </c>
      <c r="B11" s="48" t="n">
        <f aca="false">IF(UnitEcon!$B$16=0,0,1-(Assumptions!$B$14*2*$A11*1000000000*Assumptions!$B$20/(Assumptions!$B$16*1000000000000*Assumptions!$B$17*3600*B$5)*1000000*Assumptions!$B$21)/UnitEcon!$B$16)</f>
        <v>-23.3301557760607</v>
      </c>
      <c r="C11" s="48" t="n">
        <f aca="false">IF(UnitEcon!$B$16=0,0,1-(Assumptions!$B$14*2*$A11*1000000000*Assumptions!$B$20/(Assumptions!$B$16*1000000000000*Assumptions!$B$17*3600*C$5)*1000000*Assumptions!$B$21)/UnitEcon!$B$16)</f>
        <v>-15.2201038507072</v>
      </c>
      <c r="D11" s="48" t="n">
        <f aca="false">IF(UnitEcon!$B$16=0,0,1-(Assumptions!$B$14*2*$A11*1000000000*Assumptions!$B$20/(Assumptions!$B$16*1000000000000*Assumptions!$B$17*3600*D$5)*1000000*Assumptions!$B$21)/UnitEcon!$B$16)</f>
        <v>-11.1650778880304</v>
      </c>
      <c r="E11" s="48" t="n">
        <f aca="false">IF(UnitEcon!$B$16=0,0,1-(Assumptions!$B$14*2*$A11*1000000000*Assumptions!$B$20/(Assumptions!$B$16*1000000000000*Assumptions!$B$17*3600*E$5)*1000000*Assumptions!$B$21)/UnitEcon!$B$16)</f>
        <v>-8.73206231042429</v>
      </c>
      <c r="F11" s="48" t="n">
        <f aca="false">IF(UnitEcon!$B$16=0,0,1-(Assumptions!$B$14*2*$A11*1000000000*Assumptions!$B$20/(Assumptions!$B$16*1000000000000*Assumptions!$B$17*3600*F$5)*1000000*Assumptions!$B$21)/UnitEcon!$B$16)</f>
        <v>-7.11005192535358</v>
      </c>
    </row>
    <row r="13" customFormat="false" ht="15" hidden="false" customHeight="false" outlineLevel="0" collapsed="false">
      <c r="A13" s="13" t="s">
        <v>286</v>
      </c>
    </row>
    <row r="14" customFormat="false" ht="15" hidden="false" customHeight="false" outlineLevel="0" collapsed="false">
      <c r="A14" s="13" t="s">
        <v>287</v>
      </c>
      <c r="B14" s="13" t="s">
        <v>74</v>
      </c>
      <c r="C14" s="13" t="s">
        <v>288</v>
      </c>
    </row>
    <row r="15" customFormat="false" ht="15" hidden="false" customHeight="false" outlineLevel="0" collapsed="false">
      <c r="A15" s="4" t="s">
        <v>70</v>
      </c>
      <c r="B15" s="48" t="n">
        <f aca="false">IF(UnitEcon!$B$16=0,0,1-(INDEX(Prices!$B$6:$B$9,MATCH($A15,Prices!$A$6:$A$9,0))*2*Assumptions!$B$19*1000000000*Assumptions!$B$20/(INDEX(Prices!$F$6:$F$9,MATCH($A15,Prices!$A$6:$A$9,0))*1000000000000*Assumptions!$B$17*3600*Assumptions!$B$18)*1000000*Assumptions!$B$21)/UnitEcon!$B$16)</f>
        <v>-0.390294615774899</v>
      </c>
      <c r="C15" s="48" t="n">
        <f aca="false">IF(UnitEcon!$B$16=0,0,1-(INDEX(Prices!$B$6:$B$9,MATCH($A15,Prices!$A$6:$A$9,0))*2*Assumptions!$B$19*1000000000*Assumptions!$B$20/(INDEX(Prices!$G$6:$G$9,MATCH($A15,Prices!$A$6:$A$9,0))*1000000000000*Assumptions!$B$17*3600*Assumptions!$B$18)*1000000*Assumptions!$B$21)/UnitEcon!$B$16)</f>
        <v>0.305203954016486</v>
      </c>
    </row>
    <row r="16" customFormat="false" ht="15" hidden="false" customHeight="false" outlineLevel="0" collapsed="false">
      <c r="A16" s="4" t="s">
        <v>289</v>
      </c>
      <c r="B16" s="48" t="n">
        <f aca="false">IF(UnitEcon!$B$16=0,0,1-(INDEX(Prices!$B$6:$B$9,MATCH($A16,Prices!$A$6:$A$9,0))*2*Assumptions!$B$19*1000000000*Assumptions!$B$20/(INDEX(Prices!$F$6:$F$9,MATCH($A16,Prices!$A$6:$A$9,0))*1000000000000*Assumptions!$B$17*3600*Assumptions!$B$18)*1000000*Assumptions!$B$21)/UnitEcon!$B$16)</f>
        <v>-0.612741754298883</v>
      </c>
      <c r="C16" s="48" t="n">
        <f aca="false">IF(UnitEcon!$B$16=0,0,1-(INDEX(Prices!$B$6:$B$9,MATCH($A16,Prices!$A$6:$A$9,0))*2*Assumptions!$B$19*1000000000*Assumptions!$B$20/(INDEX(Prices!$G$6:$G$9,MATCH($A16,Prices!$A$6:$A$9,0))*1000000000000*Assumptions!$B$17*3600*Assumptions!$B$18)*1000000*Assumptions!$B$21)/UnitEcon!$B$16)</f>
        <v>0.194036586659123</v>
      </c>
    </row>
    <row r="17" customFormat="false" ht="15" hidden="false" customHeight="false" outlineLevel="0" collapsed="false">
      <c r="A17" s="4" t="s">
        <v>290</v>
      </c>
      <c r="B17" s="48" t="n">
        <f aca="false">IF(UnitEcon!$B$16=0,0,1-(INDEX(Prices!$B$6:$B$9,MATCH($A17,Prices!$A$6:$A$9,0))*2*Assumptions!$B$19*1000000000*Assumptions!$B$20/(INDEX(Prices!$F$6:$F$9,MATCH($A17,Prices!$A$6:$A$9,0))*1000000000000*Assumptions!$B$17*3600*Assumptions!$B$18)*1000000*Assumptions!$B$21)/UnitEcon!$B$16)</f>
        <v>0.0222212444434667</v>
      </c>
      <c r="C17" s="48" t="n">
        <f aca="false">IF(UnitEcon!$B$16=0,0,1-(INDEX(Prices!$B$6:$B$9,MATCH($A17,Prices!$A$6:$A$9,0))*2*Assumptions!$B$19*1000000000*Assumptions!$B$20/(INDEX(Prices!$G$6:$G$9,MATCH($A17,Prices!$A$6:$A$9,0))*1000000000000*Assumptions!$B$17*3600*Assumptions!$B$18)*1000000*Assumptions!$B$21)/UnitEcon!$B$16)</f>
        <v>0.511110622221733</v>
      </c>
    </row>
    <row r="18" customFormat="false" ht="15" hidden="false" customHeight="false" outlineLevel="0" collapsed="false">
      <c r="A18" s="4" t="s">
        <v>291</v>
      </c>
      <c r="B18" s="48" t="n">
        <f aca="false">IF(UnitEcon!$B$16=0,0,1-(INDEX(Prices!$B$6:$B$9,MATCH($A18,Prices!$A$6:$A$9,0))*2*Assumptions!$B$19*1000000000*Assumptions!$B$20/(INDEX(Prices!$F$6:$F$9,MATCH($A18,Prices!$A$6:$A$9,0))*1000000000000*Assumptions!$B$17*3600*Assumptions!$B$18)*1000000*Assumptions!$B$21)/UnitEcon!$B$16)</f>
        <v>-0.17333450666784</v>
      </c>
      <c r="C18" s="48" t="n">
        <f aca="false">IF(UnitEcon!$B$16=0,0,1-(INDEX(Prices!$B$6:$B$9,MATCH($A18,Prices!$A$6:$A$9,0))*2*Assumptions!$B$19*1000000000*Assumptions!$B$20/(INDEX(Prices!$G$6:$G$9,MATCH($A18,Prices!$A$6:$A$9,0))*1000000000000*Assumptions!$B$17*3600*Assumptions!$B$18)*1000000*Assumptions!$B$21)/UnitEcon!$B$16)</f>
        <v>0.41333274666608</v>
      </c>
    </row>
    <row r="20" customFormat="false" ht="15" hidden="false" customHeight="false" outlineLevel="0" collapsed="false">
      <c r="A20" s="13" t="s">
        <v>292</v>
      </c>
    </row>
    <row r="21" customFormat="false" ht="15" hidden="false" customHeight="false" outlineLevel="0" collapsed="false">
      <c r="A21" s="13" t="s">
        <v>293</v>
      </c>
      <c r="B21" s="19" t="n">
        <v>1</v>
      </c>
      <c r="C21" s="19" t="n">
        <v>3</v>
      </c>
      <c r="D21" s="19" t="n">
        <v>8</v>
      </c>
      <c r="E21" s="19" t="n">
        <v>14</v>
      </c>
      <c r="F21" s="19" t="n">
        <v>30</v>
      </c>
      <c r="G21" s="19" t="n">
        <v>70</v>
      </c>
    </row>
    <row r="22" customFormat="false" ht="15" hidden="false" customHeight="false" outlineLevel="0" collapsed="false">
      <c r="A22" s="18" t="n">
        <v>1.79</v>
      </c>
      <c r="B22" s="45" t="n">
        <f aca="false">$A22*2*B$21*1000000000*Assumptions!$B$20/(Assumptions!$B$16*1000000000000*Assumptions!$B$17*3600*Assumptions!$B$18)*1000000*Assumptions!$B$21</f>
        <v>0.00502752499719133</v>
      </c>
      <c r="C22" s="45" t="n">
        <f aca="false">$A22*2*C$21*1000000000*Assumptions!$B$20/(Assumptions!$B$16*1000000000000*Assumptions!$B$17*3600*Assumptions!$B$18)*1000000*Assumptions!$B$21</f>
        <v>0.015082574991574</v>
      </c>
      <c r="D22" s="45" t="n">
        <f aca="false">$A22*2*D$21*1000000000*Assumptions!$B$20/(Assumptions!$B$16*1000000000000*Assumptions!$B$17*3600*Assumptions!$B$18)*1000000*Assumptions!$B$21</f>
        <v>0.0402201999775306</v>
      </c>
      <c r="E22" s="45" t="n">
        <f aca="false">$A22*2*E$21*1000000000*Assumptions!$B$20/(Assumptions!$B$16*1000000000000*Assumptions!$B$17*3600*Assumptions!$B$18)*1000000*Assumptions!$B$21</f>
        <v>0.0703853499606786</v>
      </c>
      <c r="F22" s="45" t="n">
        <f aca="false">$A22*2*F$21*1000000000*Assumptions!$B$20/(Assumptions!$B$16*1000000000000*Assumptions!$B$17*3600*Assumptions!$B$18)*1000000*Assumptions!$B$21</f>
        <v>0.15082574991574</v>
      </c>
      <c r="G22" s="45" t="n">
        <f aca="false">$A22*2*G$21*1000000000*Assumptions!$B$20/(Assumptions!$B$16*1000000000000*Assumptions!$B$17*3600*Assumptions!$B$18)*1000000*Assumptions!$B$21</f>
        <v>0.351926749803393</v>
      </c>
    </row>
    <row r="23" customFormat="false" ht="15" hidden="false" customHeight="false" outlineLevel="0" collapsed="false">
      <c r="A23" s="18" t="n">
        <v>2.25</v>
      </c>
      <c r="B23" s="45" t="n">
        <f aca="false">$A23*2*B$21*1000000000*Assumptions!$B$20/(Assumptions!$B$16*1000000000000*Assumptions!$B$17*3600*Assumptions!$B$18)*1000000*Assumptions!$B$21</f>
        <v>0.00631951466127401</v>
      </c>
      <c r="C23" s="45" t="n">
        <f aca="false">$A23*2*C$21*1000000000*Assumptions!$B$20/(Assumptions!$B$16*1000000000000*Assumptions!$B$17*3600*Assumptions!$B$18)*1000000*Assumptions!$B$21</f>
        <v>0.018958543983822</v>
      </c>
      <c r="D23" s="45" t="n">
        <f aca="false">$A23*2*D$21*1000000000*Assumptions!$B$20/(Assumptions!$B$16*1000000000000*Assumptions!$B$17*3600*Assumptions!$B$18)*1000000*Assumptions!$B$21</f>
        <v>0.0505561172901921</v>
      </c>
      <c r="E23" s="45" t="n">
        <f aca="false">$A23*2*E$21*1000000000*Assumptions!$B$20/(Assumptions!$B$16*1000000000000*Assumptions!$B$17*3600*Assumptions!$B$18)*1000000*Assumptions!$B$21</f>
        <v>0.0884732052578362</v>
      </c>
      <c r="F23" s="45" t="n">
        <f aca="false">$A23*2*F$21*1000000000*Assumptions!$B$20/(Assumptions!$B$16*1000000000000*Assumptions!$B$17*3600*Assumptions!$B$18)*1000000*Assumptions!$B$21</f>
        <v>0.18958543983822</v>
      </c>
      <c r="G23" s="45" t="n">
        <f aca="false">$A23*2*G$21*1000000000*Assumptions!$B$20/(Assumptions!$B$16*1000000000000*Assumptions!$B$17*3600*Assumptions!$B$18)*1000000*Assumptions!$B$21</f>
        <v>0.442366026289181</v>
      </c>
    </row>
    <row r="24" customFormat="false" ht="15" hidden="false" customHeight="false" outlineLevel="0" collapsed="false">
      <c r="A24" s="18" t="n">
        <v>2.5</v>
      </c>
      <c r="B24" s="45" t="n">
        <f aca="false">$A24*2*B$21*1000000000*Assumptions!$B$20/(Assumptions!$B$16*1000000000000*Assumptions!$B$17*3600*Assumptions!$B$18)*1000000*Assumptions!$B$21</f>
        <v>0.00702168295697113</v>
      </c>
      <c r="C24" s="45" t="n">
        <f aca="false">$A24*2*C$21*1000000000*Assumptions!$B$20/(Assumptions!$B$16*1000000000000*Assumptions!$B$17*3600*Assumptions!$B$18)*1000000*Assumptions!$B$21</f>
        <v>0.0210650488709134</v>
      </c>
      <c r="D24" s="45" t="n">
        <f aca="false">$A24*2*D$21*1000000000*Assumptions!$B$20/(Assumptions!$B$16*1000000000000*Assumptions!$B$17*3600*Assumptions!$B$18)*1000000*Assumptions!$B$21</f>
        <v>0.056173463655769</v>
      </c>
      <c r="E24" s="45" t="n">
        <f aca="false">$A24*2*E$21*1000000000*Assumptions!$B$20/(Assumptions!$B$16*1000000000000*Assumptions!$B$17*3600*Assumptions!$B$18)*1000000*Assumptions!$B$21</f>
        <v>0.0983035613975958</v>
      </c>
      <c r="F24" s="45" t="n">
        <f aca="false">$A24*2*F$21*1000000000*Assumptions!$B$20/(Assumptions!$B$16*1000000000000*Assumptions!$B$17*3600*Assumptions!$B$18)*1000000*Assumptions!$B$21</f>
        <v>0.210650488709134</v>
      </c>
      <c r="G24" s="45" t="n">
        <f aca="false">$A24*2*G$21*1000000000*Assumptions!$B$20/(Assumptions!$B$16*1000000000000*Assumptions!$B$17*3600*Assumptions!$B$18)*1000000*Assumptions!$B$21</f>
        <v>0.491517806987979</v>
      </c>
    </row>
    <row r="25" customFormat="false" ht="15" hidden="false" customHeight="false" outlineLevel="0" collapsed="false">
      <c r="A25" s="18" t="n">
        <v>3</v>
      </c>
      <c r="B25" s="45" t="n">
        <f aca="false">$A25*2*B$21*1000000000*Assumptions!$B$20/(Assumptions!$B$16*1000000000000*Assumptions!$B$17*3600*Assumptions!$B$18)*1000000*Assumptions!$B$21</f>
        <v>0.00842601954836535</v>
      </c>
      <c r="C25" s="45" t="n">
        <f aca="false">$A25*2*C$21*1000000000*Assumptions!$B$20/(Assumptions!$B$16*1000000000000*Assumptions!$B$17*3600*Assumptions!$B$18)*1000000*Assumptions!$B$21</f>
        <v>0.0252780586450961</v>
      </c>
      <c r="D25" s="45" t="n">
        <f aca="false">$A25*2*D$21*1000000000*Assumptions!$B$20/(Assumptions!$B$16*1000000000000*Assumptions!$B$17*3600*Assumptions!$B$18)*1000000*Assumptions!$B$21</f>
        <v>0.0674081563869228</v>
      </c>
      <c r="E25" s="45" t="n">
        <f aca="false">$A25*2*E$21*1000000000*Assumptions!$B$20/(Assumptions!$B$16*1000000000000*Assumptions!$B$17*3600*Assumptions!$B$18)*1000000*Assumptions!$B$21</f>
        <v>0.117964273677115</v>
      </c>
      <c r="F25" s="45" t="n">
        <f aca="false">$A25*2*F$21*1000000000*Assumptions!$B$20/(Assumptions!$B$16*1000000000000*Assumptions!$B$17*3600*Assumptions!$B$18)*1000000*Assumptions!$B$21</f>
        <v>0.252780586450961</v>
      </c>
      <c r="G25" s="45" t="n">
        <f aca="false">$A25*2*G$21*1000000000*Assumptions!$B$20/(Assumptions!$B$16*1000000000000*Assumptions!$B$17*3600*Assumptions!$B$18)*1000000*Assumptions!$B$21</f>
        <v>0.589821368385575</v>
      </c>
    </row>
    <row r="26" customFormat="false" ht="15" hidden="false" customHeight="false" outlineLevel="0" collapsed="false">
      <c r="A26" s="18" t="n">
        <v>3.84</v>
      </c>
      <c r="B26" s="45" t="n">
        <f aca="false">$A26*2*B$21*1000000000*Assumptions!$B$20/(Assumptions!$B$16*1000000000000*Assumptions!$B$17*3600*Assumptions!$B$18)*1000000*Assumptions!$B$21</f>
        <v>0.0107853050219077</v>
      </c>
      <c r="C26" s="45" t="n">
        <f aca="false">$A26*2*C$21*1000000000*Assumptions!$B$20/(Assumptions!$B$16*1000000000000*Assumptions!$B$17*3600*Assumptions!$B$18)*1000000*Assumptions!$B$21</f>
        <v>0.032355915065723</v>
      </c>
      <c r="D26" s="45" t="n">
        <f aca="false">$A26*2*D$21*1000000000*Assumptions!$B$20/(Assumptions!$B$16*1000000000000*Assumptions!$B$17*3600*Assumptions!$B$18)*1000000*Assumptions!$B$21</f>
        <v>0.0862824401752612</v>
      </c>
      <c r="E26" s="45" t="n">
        <f aca="false">$A26*2*E$21*1000000000*Assumptions!$B$20/(Assumptions!$B$16*1000000000000*Assumptions!$B$17*3600*Assumptions!$B$18)*1000000*Assumptions!$B$21</f>
        <v>0.150994270306707</v>
      </c>
      <c r="F26" s="45" t="n">
        <f aca="false">$A26*2*F$21*1000000000*Assumptions!$B$20/(Assumptions!$B$16*1000000000000*Assumptions!$B$17*3600*Assumptions!$B$18)*1000000*Assumptions!$B$21</f>
        <v>0.323559150657229</v>
      </c>
      <c r="G26" s="45" t="n">
        <f aca="false">$A26*2*G$21*1000000000*Assumptions!$B$20/(Assumptions!$B$16*1000000000000*Assumptions!$B$17*3600*Assumptions!$B$18)*1000000*Assumptions!$B$21</f>
        <v>0.754971351533536</v>
      </c>
    </row>
    <row r="27" customFormat="false" ht="15" hidden="false" customHeight="false" outlineLevel="0" collapsed="false">
      <c r="A27" s="18" t="n">
        <v>5</v>
      </c>
      <c r="B27" s="45" t="n">
        <f aca="false">$A27*2*B$21*1000000000*Assumptions!$B$20/(Assumptions!$B$16*1000000000000*Assumptions!$B$17*3600*Assumptions!$B$18)*1000000*Assumptions!$B$21</f>
        <v>0.0140433659139423</v>
      </c>
      <c r="C27" s="45" t="n">
        <f aca="false">$A27*2*C$21*1000000000*Assumptions!$B$20/(Assumptions!$B$16*1000000000000*Assumptions!$B$17*3600*Assumptions!$B$18)*1000000*Assumptions!$B$21</f>
        <v>0.0421300977418268</v>
      </c>
      <c r="D27" s="45" t="n">
        <f aca="false">$A27*2*D$21*1000000000*Assumptions!$B$20/(Assumptions!$B$16*1000000000000*Assumptions!$B$17*3600*Assumptions!$B$18)*1000000*Assumptions!$B$21</f>
        <v>0.112346927311538</v>
      </c>
      <c r="E27" s="45" t="n">
        <f aca="false">$A27*2*E$21*1000000000*Assumptions!$B$20/(Assumptions!$B$16*1000000000000*Assumptions!$B$17*3600*Assumptions!$B$18)*1000000*Assumptions!$B$21</f>
        <v>0.196607122795192</v>
      </c>
      <c r="F27" s="45" t="n">
        <f aca="false">$A27*2*F$21*1000000000*Assumptions!$B$20/(Assumptions!$B$16*1000000000000*Assumptions!$B$17*3600*Assumptions!$B$18)*1000000*Assumptions!$B$21</f>
        <v>0.421300977418268</v>
      </c>
      <c r="G27" s="45" t="n">
        <f aca="false">$A27*2*G$21*1000000000*Assumptions!$B$20/(Assumptions!$B$16*1000000000000*Assumptions!$B$17*3600*Assumptions!$B$18)*1000000*Assumptions!$B$21</f>
        <v>0.983035613975958</v>
      </c>
    </row>
    <row r="29" customFormat="false" ht="15" hidden="false" customHeight="false" outlineLevel="0" collapsed="false">
      <c r="A29" s="2" t="str">
        <f aca="false">"Compare every cell with the net price of $"&amp;TEXT(UnitEcon!$B$16,"0.0000")&amp;" per M tokens."</f>
        <v>Compare every cell with the net price of $0.0404 per M tokens.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5"/>
  </cols>
  <sheetData>
    <row r="1" customFormat="false" ht="17.35" hidden="false" customHeight="false" outlineLevel="0" collapsed="false">
      <c r="A1" s="1" t="s">
        <v>294</v>
      </c>
    </row>
    <row r="2" customFormat="false" ht="15" hidden="false" customHeight="false" outlineLevel="0" collapsed="false">
      <c r="A2" s="2" t="s">
        <v>295</v>
      </c>
    </row>
    <row r="4" customFormat="false" ht="15" hidden="false" customHeight="false" outlineLevel="0" collapsed="false">
      <c r="A4" s="13" t="s">
        <v>296</v>
      </c>
    </row>
    <row r="5" customFormat="false" ht="15" hidden="false" customHeight="false" outlineLevel="0" collapsed="false">
      <c r="A5" s="4" t="s">
        <v>297</v>
      </c>
      <c r="B5" s="30" t="n">
        <f aca="false">Assumptions!$B$35</f>
        <v>8.1825</v>
      </c>
    </row>
    <row r="6" customFormat="false" ht="15" hidden="false" customHeight="false" outlineLevel="0" collapsed="false">
      <c r="A6" s="4" t="s">
        <v>298</v>
      </c>
      <c r="B6" s="33" t="n">
        <f aca="false">Assumptions!$B$39*Assumptions!$B$40*8760/1000000</f>
        <v>5.6064</v>
      </c>
    </row>
    <row r="7" customFormat="false" ht="15" hidden="false" customHeight="false" outlineLevel="0" collapsed="false">
      <c r="A7" s="4" t="s">
        <v>299</v>
      </c>
      <c r="B7" s="30" t="n">
        <f aca="false">Assumptions!$B$37</f>
        <v>3</v>
      </c>
    </row>
    <row r="8" customFormat="false" ht="15" hidden="false" customHeight="false" outlineLevel="0" collapsed="false">
      <c r="A8" s="13" t="s">
        <v>300</v>
      </c>
      <c r="B8" s="52" t="n">
        <f aca="false">SUM(B5:B7)</f>
        <v>16.7889</v>
      </c>
    </row>
    <row r="10" customFormat="false" ht="15" hidden="false" customHeight="false" outlineLevel="0" collapsed="false">
      <c r="A10" s="13" t="s">
        <v>301</v>
      </c>
    </row>
    <row r="11" customFormat="false" ht="15" hidden="false" customHeight="false" outlineLevel="0" collapsed="false">
      <c r="A11" s="4" t="s">
        <v>7</v>
      </c>
      <c r="B11" s="46" t="n">
        <f aca="false">Assumptions!$B$6</f>
        <v>0.042</v>
      </c>
      <c r="C11" s="16" t="n">
        <v>0.06</v>
      </c>
      <c r="D11" s="16" t="n">
        <v>0.08</v>
      </c>
      <c r="E11" s="16" t="n">
        <v>0.15</v>
      </c>
      <c r="F11" s="16" t="n">
        <v>0.25</v>
      </c>
    </row>
    <row r="12" customFormat="false" ht="15" hidden="false" customHeight="false" outlineLevel="0" collapsed="false">
      <c r="A12" s="4" t="s">
        <v>302</v>
      </c>
      <c r="B12" s="45" t="n">
        <f aca="false">B11*(1-UnitEcon!$B$15)</f>
        <v>0.040404</v>
      </c>
      <c r="C12" s="45" t="n">
        <f aca="false">C11*(1-UnitEcon!$B$15)</f>
        <v>0.05772</v>
      </c>
      <c r="D12" s="45" t="n">
        <f aca="false">D11*(1-UnitEcon!$B$15)</f>
        <v>0.07696</v>
      </c>
      <c r="E12" s="45" t="n">
        <f aca="false">E11*(1-UnitEcon!$B$15)</f>
        <v>0.1443</v>
      </c>
      <c r="F12" s="45" t="n">
        <f aca="false">F11*(1-UnitEcon!$B$15)</f>
        <v>0.2405</v>
      </c>
    </row>
    <row r="13" customFormat="false" ht="15" hidden="false" customHeight="false" outlineLevel="0" collapsed="false">
      <c r="A13" s="4" t="s">
        <v>303</v>
      </c>
      <c r="B13" s="45" t="n">
        <f aca="false">UnitEcon!$B$12</f>
        <v>0.056173463655769</v>
      </c>
      <c r="C13" s="45" t="n">
        <f aca="false">UnitEcon!$B$12</f>
        <v>0.056173463655769</v>
      </c>
      <c r="D13" s="45" t="n">
        <f aca="false">UnitEcon!$B$12</f>
        <v>0.056173463655769</v>
      </c>
      <c r="E13" s="45" t="n">
        <f aca="false">UnitEcon!$B$12</f>
        <v>0.056173463655769</v>
      </c>
      <c r="F13" s="45" t="n">
        <f aca="false">UnitEcon!$B$12</f>
        <v>0.056173463655769</v>
      </c>
    </row>
    <row r="14" customFormat="false" ht="15" hidden="false" customHeight="false" outlineLevel="0" collapsed="false">
      <c r="A14" s="4" t="s">
        <v>304</v>
      </c>
      <c r="B14" s="45" t="n">
        <f aca="false">B12-B13</f>
        <v>-0.015769463655769</v>
      </c>
      <c r="C14" s="45" t="n">
        <f aca="false">C12-C13</f>
        <v>0.00154653634423097</v>
      </c>
      <c r="D14" s="45" t="n">
        <f aca="false">D12-D13</f>
        <v>0.020786536344231</v>
      </c>
      <c r="E14" s="45" t="n">
        <f aca="false">E12-E13</f>
        <v>0.088126536344231</v>
      </c>
      <c r="F14" s="45" t="n">
        <f aca="false">F12-F13</f>
        <v>0.184326536344231</v>
      </c>
    </row>
    <row r="15" customFormat="false" ht="15" hidden="false" customHeight="false" outlineLevel="0" collapsed="false">
      <c r="A15" s="4" t="s">
        <v>305</v>
      </c>
      <c r="B15" s="48" t="n">
        <f aca="false">IF(B12=0,0,B14/B12)</f>
        <v>-0.390294615774899</v>
      </c>
      <c r="C15" s="48" t="n">
        <f aca="false">IF(C12=0,0,C14/C12)</f>
        <v>0.0267937689575705</v>
      </c>
      <c r="D15" s="48" t="n">
        <f aca="false">IF(D12=0,0,D14/D12)</f>
        <v>0.270095326718178</v>
      </c>
      <c r="E15" s="48" t="n">
        <f aca="false">IF(E12=0,0,E14/E12)</f>
        <v>0.610717507583028</v>
      </c>
      <c r="F15" s="48" t="n">
        <f aca="false">IF(F12=0,0,F14/F12)</f>
        <v>0.766430504549817</v>
      </c>
    </row>
    <row r="16" customFormat="false" ht="15" hidden="false" customHeight="false" outlineLevel="0" collapsed="false">
      <c r="A16" s="4" t="s">
        <v>306</v>
      </c>
      <c r="B16" s="23" t="str">
        <f aca="false">IF(B14&lt;=0,"loss per token",$B$8*1000000/B14)</f>
        <v>loss per token</v>
      </c>
      <c r="C16" s="23" t="n">
        <f aca="false">IF(C14&lt;=0,"loss per token",$B$8*1000000/C14)</f>
        <v>10855806953.7955</v>
      </c>
      <c r="D16" s="23" t="n">
        <f aca="false">IF(D14&lt;=0,"loss per token",$B$8*1000000/D14)</f>
        <v>807681458.900657</v>
      </c>
      <c r="E16" s="23" t="n">
        <f aca="false">IF(E14&lt;=0,"loss per token",$B$8*1000000/E14)</f>
        <v>190509019.149702</v>
      </c>
      <c r="F16" s="23" t="n">
        <f aca="false">IF(F14&lt;=0,"loss per token",$B$8*1000000/F14)</f>
        <v>91082382.0214721</v>
      </c>
    </row>
    <row r="17" customFormat="false" ht="15" hidden="false" customHeight="false" outlineLevel="0" collapsed="false">
      <c r="A17" s="4" t="s">
        <v>307</v>
      </c>
      <c r="B17" s="53" t="str">
        <f aca="false">IF(B14&lt;=0,"n/a",B16*1000000/365/1000000000000)</f>
        <v>n/a</v>
      </c>
      <c r="C17" s="53" t="n">
        <f aca="false">IF(C14&lt;=0,"n/a",C16*1000000/365/1000000000000)</f>
        <v>29.7419368597136</v>
      </c>
      <c r="D17" s="53" t="n">
        <f aca="false">IF(D14&lt;=0,"n/a",D16*1000000/365/1000000000000)</f>
        <v>2.21282591479632</v>
      </c>
      <c r="E17" s="53" t="n">
        <f aca="false">IF(E14&lt;=0,"n/a",E16*1000000/365/1000000000000)</f>
        <v>0.521942518218362</v>
      </c>
      <c r="F17" s="53" t="n">
        <f aca="false">IF(F14&lt;=0,"n/a",F16*1000000/365/1000000000000)</f>
        <v>0.249540772661567</v>
      </c>
    </row>
    <row r="18" customFormat="false" ht="15" hidden="false" customHeight="false" outlineLevel="0" collapsed="false">
      <c r="A18" s="4" t="s">
        <v>308</v>
      </c>
      <c r="B18" s="23" t="str">
        <f aca="false">IF(B14&lt;=0,"n/a",B16*1000000/365/Assumptions!$B$24/1000000)</f>
        <v>n/a</v>
      </c>
      <c r="C18" s="23" t="n">
        <f aca="false">IF(C14&lt;=0,"n/a",C16*1000000/365/Assumptions!$B$24/1000000)</f>
        <v>32570.1078952878</v>
      </c>
      <c r="D18" s="23" t="n">
        <f aca="false">IF(D14&lt;=0,"n/a",D16*1000000/365/Assumptions!$B$24/1000000)</f>
        <v>2423.24429435625</v>
      </c>
      <c r="E18" s="23" t="n">
        <f aca="false">IF(E14&lt;=0,"n/a",E16*1000000/365/Assumptions!$B$24/1000000)</f>
        <v>571.574212321622</v>
      </c>
      <c r="F18" s="23" t="n">
        <f aca="false">IF(F14&lt;=0,"n/a",F16*1000000/365/Assumptions!$B$24/1000000)</f>
        <v>273.269690813908</v>
      </c>
    </row>
    <row r="19" customFormat="false" ht="15" hidden="false" customHeight="false" outlineLevel="0" collapsed="false">
      <c r="A19" s="4" t="s">
        <v>309</v>
      </c>
      <c r="B19" s="23" t="str">
        <f aca="false">IF(B14&lt;=0,"n/a",B16*1000000/(UnitEcon!$B$10*8760*Assumptions!$B$18))</f>
        <v>n/a</v>
      </c>
      <c r="C19" s="23" t="n">
        <f aca="false">IF(C14&lt;=0,"n/a",C16*1000000/(UnitEcon!$B$10*8760*Assumptions!$B$18))</f>
        <v>27845.1268206883</v>
      </c>
      <c r="D19" s="23" t="n">
        <f aca="false">IF(D14&lt;=0,"n/a",D16*1000000/(UnitEcon!$B$10*8760*Assumptions!$B$18))</f>
        <v>2071.70160168925</v>
      </c>
      <c r="E19" s="23" t="n">
        <f aca="false">IF(E14&lt;=0,"n/a",E16*1000000/(UnitEcon!$B$10*8760*Assumptions!$B$18))</f>
        <v>488.655317958995</v>
      </c>
      <c r="F19" s="23" t="n">
        <f aca="false">IF(F14&lt;=0,"n/a",F16*1000000/(UnitEcon!$B$10*8760*Assumptions!$B$18))</f>
        <v>233.626158728951</v>
      </c>
    </row>
    <row r="20" customFormat="false" ht="15" hidden="false" customHeight="false" outlineLevel="0" collapsed="false">
      <c r="A20" s="4" t="s">
        <v>310</v>
      </c>
      <c r="B20" s="33" t="str">
        <f aca="false">IF(B14&lt;=0,"n/a",B16*B12/1000000)</f>
        <v>n/a</v>
      </c>
      <c r="C20" s="33" t="n">
        <f aca="false">IF(C14&lt;=0,"n/a",C16*C12/1000000)</f>
        <v>626.597177373074</v>
      </c>
      <c r="D20" s="33" t="n">
        <f aca="false">IF(D14&lt;=0,"n/a",D16*D12/1000000)</f>
        <v>62.1591650769945</v>
      </c>
      <c r="E20" s="33" t="n">
        <f aca="false">IF(E14&lt;=0,"n/a",E16*E12/1000000)</f>
        <v>27.490451463302</v>
      </c>
      <c r="F20" s="33" t="n">
        <f aca="false">IF(F14&lt;=0,"n/a",F16*F12/1000000)</f>
        <v>21.905312876164</v>
      </c>
    </row>
    <row r="21" customFormat="false" ht="15" hidden="false" customHeight="false" outlineLevel="0" collapsed="false">
      <c r="A21" s="4" t="s">
        <v>311</v>
      </c>
      <c r="B21" s="51" t="n">
        <f aca="false">IF(B11=0,0,UnitEcon!$B$35/(Assumptions!$B$24/1000000*B11))</f>
        <v>67.8999469837214</v>
      </c>
      <c r="C21" s="51" t="n">
        <f aca="false">IF(C11=0,0,UnitEcon!$B$35/(Assumptions!$B$24/1000000*C11))</f>
        <v>47.529962888605</v>
      </c>
      <c r="D21" s="51" t="n">
        <f aca="false">IF(D11=0,0,UnitEcon!$B$35/(Assumptions!$B$24/1000000*D11))</f>
        <v>35.6474721664537</v>
      </c>
      <c r="E21" s="51" t="n">
        <f aca="false">IF(E11=0,0,UnitEcon!$B$35/(Assumptions!$B$24/1000000*E11))</f>
        <v>19.011985155442</v>
      </c>
      <c r="F21" s="51" t="n">
        <f aca="false">IF(F11=0,0,UnitEcon!$B$35/(Assumptions!$B$24/1000000*F11))</f>
        <v>11.4071910932652</v>
      </c>
    </row>
    <row r="22" customFormat="false" ht="15" hidden="false" customHeight="false" outlineLevel="0" collapsed="false">
      <c r="A22" s="4" t="s">
        <v>312</v>
      </c>
      <c r="B22" s="51" t="n">
        <f aca="false">IF(B11=0,0,UnitEcon!$B$38/(Assumptions!$B$24/1000000*B11))</f>
        <v>76.9257511363735</v>
      </c>
      <c r="C22" s="51" t="n">
        <f aca="false">IF(C11=0,0,UnitEcon!$B$38/(Assumptions!$B$24/1000000*C11))</f>
        <v>53.8480257954615</v>
      </c>
      <c r="D22" s="51" t="n">
        <f aca="false">IF(D11=0,0,UnitEcon!$B$38/(Assumptions!$B$24/1000000*D11))</f>
        <v>40.3860193465961</v>
      </c>
      <c r="E22" s="51" t="n">
        <f aca="false">IF(E11=0,0,UnitEcon!$B$38/(Assumptions!$B$24/1000000*E11))</f>
        <v>21.5392103181846</v>
      </c>
      <c r="F22" s="51" t="n">
        <f aca="false">IF(F11=0,0,UnitEcon!$B$38/(Assumptions!$B$24/1000000*F11))</f>
        <v>12.9235261909108</v>
      </c>
    </row>
    <row r="24" customFormat="false" ht="15" hidden="false" customHeight="false" outlineLevel="0" collapsed="false">
      <c r="A24" s="2" t="s">
        <v>313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5" min="2" style="0" width="10"/>
  </cols>
  <sheetData>
    <row r="1" customFormat="false" ht="17.35" hidden="false" customHeight="false" outlineLevel="0" collapsed="false">
      <c r="A1" s="1" t="s">
        <v>314</v>
      </c>
    </row>
    <row r="2" customFormat="false" ht="15" hidden="false" customHeight="false" outlineLevel="0" collapsed="false">
      <c r="A2" s="2" t="s">
        <v>315</v>
      </c>
    </row>
    <row r="4" customFormat="false" ht="15" hidden="false" customHeight="false" outlineLevel="0" collapsed="false">
      <c r="A4" s="13" t="s">
        <v>316</v>
      </c>
      <c r="B4" s="54" t="n">
        <v>1</v>
      </c>
      <c r="C4" s="54" t="n">
        <v>2</v>
      </c>
      <c r="D4" s="54" t="n">
        <v>3</v>
      </c>
      <c r="E4" s="54" t="n">
        <v>4</v>
      </c>
      <c r="F4" s="54" t="n">
        <v>5</v>
      </c>
      <c r="G4" s="54" t="n">
        <v>6</v>
      </c>
      <c r="H4" s="54" t="n">
        <v>7</v>
      </c>
      <c r="I4" s="54" t="n">
        <v>8</v>
      </c>
      <c r="J4" s="54" t="n">
        <v>9</v>
      </c>
      <c r="K4" s="54" t="n">
        <v>10</v>
      </c>
      <c r="L4" s="54" t="n">
        <v>11</v>
      </c>
      <c r="M4" s="54" t="n">
        <v>12</v>
      </c>
      <c r="N4" s="54" t="n">
        <v>13</v>
      </c>
      <c r="O4" s="54" t="n">
        <v>14</v>
      </c>
      <c r="P4" s="54" t="n">
        <v>15</v>
      </c>
      <c r="Q4" s="54" t="n">
        <v>16</v>
      </c>
      <c r="R4" s="54" t="n">
        <v>17</v>
      </c>
      <c r="S4" s="54" t="n">
        <v>18</v>
      </c>
      <c r="T4" s="54" t="n">
        <v>19</v>
      </c>
      <c r="U4" s="54" t="n">
        <v>20</v>
      </c>
      <c r="V4" s="54" t="n">
        <v>21</v>
      </c>
      <c r="W4" s="54" t="n">
        <v>22</v>
      </c>
      <c r="X4" s="54" t="n">
        <v>23</v>
      </c>
      <c r="Y4" s="54" t="n">
        <v>24</v>
      </c>
    </row>
    <row r="5" customFormat="false" ht="15" hidden="false" customHeight="false" outlineLevel="0" collapsed="false">
      <c r="A5" s="4" t="s">
        <v>317</v>
      </c>
      <c r="B5" s="23" t="n">
        <f aca="false">Hiring!$D$32+SUMPRODUCT((Hiring!$E$37:$E$66&gt;=1)*(Hiring!$E$37:$E$66&lt;=B$4)*Hiring!$D$37:$D$66)</f>
        <v>25</v>
      </c>
      <c r="C5" s="23" t="n">
        <f aca="false">Hiring!$D$32+SUMPRODUCT((Hiring!$E$37:$E$66&gt;=1)*(Hiring!$E$37:$E$66&lt;=C$4)*Hiring!$D$37:$D$66)</f>
        <v>26</v>
      </c>
      <c r="D5" s="23" t="n">
        <f aca="false">Hiring!$D$32+SUMPRODUCT((Hiring!$E$37:$E$66&gt;=1)*(Hiring!$E$37:$E$66&lt;=D$4)*Hiring!$D$37:$D$66)</f>
        <v>26</v>
      </c>
      <c r="E5" s="23" t="n">
        <f aca="false">Hiring!$D$32+SUMPRODUCT((Hiring!$E$37:$E$66&gt;=1)*(Hiring!$E$37:$E$66&lt;=E$4)*Hiring!$D$37:$D$66)</f>
        <v>26</v>
      </c>
      <c r="F5" s="23" t="n">
        <f aca="false">Hiring!$D$32+SUMPRODUCT((Hiring!$E$37:$E$66&gt;=1)*(Hiring!$E$37:$E$66&lt;=F$4)*Hiring!$D$37:$D$66)</f>
        <v>26</v>
      </c>
      <c r="G5" s="23" t="n">
        <f aca="false">Hiring!$D$32+SUMPRODUCT((Hiring!$E$37:$E$66&gt;=1)*(Hiring!$E$37:$E$66&lt;=G$4)*Hiring!$D$37:$D$66)</f>
        <v>26</v>
      </c>
      <c r="H5" s="23" t="n">
        <f aca="false">Hiring!$D$32+SUMPRODUCT((Hiring!$E$37:$E$66&gt;=1)*(Hiring!$E$37:$E$66&lt;=H$4)*Hiring!$D$37:$D$66)</f>
        <v>26</v>
      </c>
      <c r="I5" s="23" t="n">
        <f aca="false">Hiring!$D$32+SUMPRODUCT((Hiring!$E$37:$E$66&gt;=1)*(Hiring!$E$37:$E$66&lt;=I$4)*Hiring!$D$37:$D$66)</f>
        <v>26</v>
      </c>
      <c r="J5" s="23" t="n">
        <f aca="false">Hiring!$D$32+SUMPRODUCT((Hiring!$E$37:$E$66&gt;=1)*(Hiring!$E$37:$E$66&lt;=J$4)*Hiring!$D$37:$D$66)</f>
        <v>26</v>
      </c>
      <c r="K5" s="23" t="n">
        <f aca="false">Hiring!$D$32+SUMPRODUCT((Hiring!$E$37:$E$66&gt;=1)*(Hiring!$E$37:$E$66&lt;=K$4)*Hiring!$D$37:$D$66)</f>
        <v>26</v>
      </c>
      <c r="L5" s="23" t="n">
        <f aca="false">Hiring!$D$32+SUMPRODUCT((Hiring!$E$37:$E$66&gt;=1)*(Hiring!$E$37:$E$66&lt;=L$4)*Hiring!$D$37:$D$66)</f>
        <v>26</v>
      </c>
      <c r="M5" s="23" t="n">
        <f aca="false">Hiring!$D$32+SUMPRODUCT((Hiring!$E$37:$E$66&gt;=1)*(Hiring!$E$37:$E$66&lt;=M$4)*Hiring!$D$37:$D$66)</f>
        <v>26</v>
      </c>
      <c r="N5" s="23" t="n">
        <f aca="false">Hiring!$D$32+SUMPRODUCT((Hiring!$E$37:$E$66&gt;=1)*(Hiring!$E$37:$E$66&lt;=N$4)*Hiring!$D$37:$D$66)</f>
        <v>26</v>
      </c>
      <c r="O5" s="23" t="n">
        <f aca="false">Hiring!$D$32+SUMPRODUCT((Hiring!$E$37:$E$66&gt;=1)*(Hiring!$E$37:$E$66&lt;=O$4)*Hiring!$D$37:$D$66)</f>
        <v>26</v>
      </c>
      <c r="P5" s="23" t="n">
        <f aca="false">Hiring!$D$32+SUMPRODUCT((Hiring!$E$37:$E$66&gt;=1)*(Hiring!$E$37:$E$66&lt;=P$4)*Hiring!$D$37:$D$66)</f>
        <v>26</v>
      </c>
      <c r="Q5" s="23" t="n">
        <f aca="false">Hiring!$D$32+SUMPRODUCT((Hiring!$E$37:$E$66&gt;=1)*(Hiring!$E$37:$E$66&lt;=Q$4)*Hiring!$D$37:$D$66)</f>
        <v>26</v>
      </c>
      <c r="R5" s="23" t="n">
        <f aca="false">Hiring!$D$32+SUMPRODUCT((Hiring!$E$37:$E$66&gt;=1)*(Hiring!$E$37:$E$66&lt;=R$4)*Hiring!$D$37:$D$66)</f>
        <v>26</v>
      </c>
      <c r="S5" s="23" t="n">
        <f aca="false">Hiring!$D$32+SUMPRODUCT((Hiring!$E$37:$E$66&gt;=1)*(Hiring!$E$37:$E$66&lt;=S$4)*Hiring!$D$37:$D$66)</f>
        <v>26</v>
      </c>
      <c r="T5" s="23" t="n">
        <f aca="false">Hiring!$D$32+SUMPRODUCT((Hiring!$E$37:$E$66&gt;=1)*(Hiring!$E$37:$E$66&lt;=T$4)*Hiring!$D$37:$D$66)</f>
        <v>26</v>
      </c>
      <c r="U5" s="23" t="n">
        <f aca="false">Hiring!$D$32+SUMPRODUCT((Hiring!$E$37:$E$66&gt;=1)*(Hiring!$E$37:$E$66&lt;=U$4)*Hiring!$D$37:$D$66)</f>
        <v>26</v>
      </c>
      <c r="V5" s="23" t="n">
        <f aca="false">Hiring!$D$32+SUMPRODUCT((Hiring!$E$37:$E$66&gt;=1)*(Hiring!$E$37:$E$66&lt;=V$4)*Hiring!$D$37:$D$66)</f>
        <v>26</v>
      </c>
      <c r="W5" s="23" t="n">
        <f aca="false">Hiring!$D$32+SUMPRODUCT((Hiring!$E$37:$E$66&gt;=1)*(Hiring!$E$37:$E$66&lt;=W$4)*Hiring!$D$37:$D$66)</f>
        <v>26</v>
      </c>
      <c r="X5" s="23" t="n">
        <f aca="false">Hiring!$D$32+SUMPRODUCT((Hiring!$E$37:$E$66&gt;=1)*(Hiring!$E$37:$E$66&lt;=X$4)*Hiring!$D$37:$D$66)</f>
        <v>26</v>
      </c>
      <c r="Y5" s="23" t="n">
        <f aca="false">Hiring!$D$32+SUMPRODUCT((Hiring!$E$37:$E$66&gt;=1)*(Hiring!$E$37:$E$66&lt;=Y$4)*Hiring!$D$37:$D$66)</f>
        <v>26</v>
      </c>
    </row>
    <row r="6" customFormat="false" ht="15" hidden="false" customHeight="false" outlineLevel="0" collapsed="false">
      <c r="A6" s="4" t="s">
        <v>318</v>
      </c>
      <c r="B6" s="33" t="n">
        <f aca="false">(Hiring!$H$32+SUMPRODUCT((Hiring!$E$37:$E$66&gt;=1)*(Hiring!$E$37:$E$66&lt;=B$4)*Hiring!$D$37:$D$66*Hiring!$H$37:$H$66))/1000/12</f>
        <v>0.681875</v>
      </c>
      <c r="C6" s="33" t="n">
        <f aca="false">(Hiring!$H$32+SUMPRODUCT((Hiring!$E$37:$E$66&gt;=1)*(Hiring!$E$37:$E$66&lt;=C$4)*Hiring!$D$37:$D$66*Hiring!$H$37:$H$66))/1000/12</f>
        <v>0.701666666666667</v>
      </c>
      <c r="D6" s="33" t="n">
        <f aca="false">(Hiring!$H$32+SUMPRODUCT((Hiring!$E$37:$E$66&gt;=1)*(Hiring!$E$37:$E$66&lt;=D$4)*Hiring!$D$37:$D$66*Hiring!$H$37:$H$66))/1000/12</f>
        <v>0.701666666666667</v>
      </c>
      <c r="E6" s="33" t="n">
        <f aca="false">(Hiring!$H$32+SUMPRODUCT((Hiring!$E$37:$E$66&gt;=1)*(Hiring!$E$37:$E$66&lt;=E$4)*Hiring!$D$37:$D$66*Hiring!$H$37:$H$66))/1000/12</f>
        <v>0.701666666666667</v>
      </c>
      <c r="F6" s="33" t="n">
        <f aca="false">(Hiring!$H$32+SUMPRODUCT((Hiring!$E$37:$E$66&gt;=1)*(Hiring!$E$37:$E$66&lt;=F$4)*Hiring!$D$37:$D$66*Hiring!$H$37:$H$66))/1000/12</f>
        <v>0.701666666666667</v>
      </c>
      <c r="G6" s="33" t="n">
        <f aca="false">(Hiring!$H$32+SUMPRODUCT((Hiring!$E$37:$E$66&gt;=1)*(Hiring!$E$37:$E$66&lt;=G$4)*Hiring!$D$37:$D$66*Hiring!$H$37:$H$66))/1000/12</f>
        <v>0.701666666666667</v>
      </c>
      <c r="H6" s="33" t="n">
        <f aca="false">(Hiring!$H$32+SUMPRODUCT((Hiring!$E$37:$E$66&gt;=1)*(Hiring!$E$37:$E$66&lt;=H$4)*Hiring!$D$37:$D$66*Hiring!$H$37:$H$66))/1000/12</f>
        <v>0.701666666666667</v>
      </c>
      <c r="I6" s="33" t="n">
        <f aca="false">(Hiring!$H$32+SUMPRODUCT((Hiring!$E$37:$E$66&gt;=1)*(Hiring!$E$37:$E$66&lt;=I$4)*Hiring!$D$37:$D$66*Hiring!$H$37:$H$66))/1000/12</f>
        <v>0.701666666666667</v>
      </c>
      <c r="J6" s="33" t="n">
        <f aca="false">(Hiring!$H$32+SUMPRODUCT((Hiring!$E$37:$E$66&gt;=1)*(Hiring!$E$37:$E$66&lt;=J$4)*Hiring!$D$37:$D$66*Hiring!$H$37:$H$66))/1000/12</f>
        <v>0.701666666666667</v>
      </c>
      <c r="K6" s="33" t="n">
        <f aca="false">(Hiring!$H$32+SUMPRODUCT((Hiring!$E$37:$E$66&gt;=1)*(Hiring!$E$37:$E$66&lt;=K$4)*Hiring!$D$37:$D$66*Hiring!$H$37:$H$66))/1000/12</f>
        <v>0.701666666666667</v>
      </c>
      <c r="L6" s="33" t="n">
        <f aca="false">(Hiring!$H$32+SUMPRODUCT((Hiring!$E$37:$E$66&gt;=1)*(Hiring!$E$37:$E$66&lt;=L$4)*Hiring!$D$37:$D$66*Hiring!$H$37:$H$66))/1000/12</f>
        <v>0.701666666666667</v>
      </c>
      <c r="M6" s="33" t="n">
        <f aca="false">(Hiring!$H$32+SUMPRODUCT((Hiring!$E$37:$E$66&gt;=1)*(Hiring!$E$37:$E$66&lt;=M$4)*Hiring!$D$37:$D$66*Hiring!$H$37:$H$66))/1000/12</f>
        <v>0.701666666666667</v>
      </c>
      <c r="N6" s="33" t="n">
        <f aca="false">(Hiring!$H$32+SUMPRODUCT((Hiring!$E$37:$E$66&gt;=1)*(Hiring!$E$37:$E$66&lt;=N$4)*Hiring!$D$37:$D$66*Hiring!$H$37:$H$66))/1000/12</f>
        <v>0.701666666666667</v>
      </c>
      <c r="O6" s="33" t="n">
        <f aca="false">(Hiring!$H$32+SUMPRODUCT((Hiring!$E$37:$E$66&gt;=1)*(Hiring!$E$37:$E$66&lt;=O$4)*Hiring!$D$37:$D$66*Hiring!$H$37:$H$66))/1000/12</f>
        <v>0.701666666666667</v>
      </c>
      <c r="P6" s="33" t="n">
        <f aca="false">(Hiring!$H$32+SUMPRODUCT((Hiring!$E$37:$E$66&gt;=1)*(Hiring!$E$37:$E$66&lt;=P$4)*Hiring!$D$37:$D$66*Hiring!$H$37:$H$66))/1000/12</f>
        <v>0.701666666666667</v>
      </c>
      <c r="Q6" s="33" t="n">
        <f aca="false">(Hiring!$H$32+SUMPRODUCT((Hiring!$E$37:$E$66&gt;=1)*(Hiring!$E$37:$E$66&lt;=Q$4)*Hiring!$D$37:$D$66*Hiring!$H$37:$H$66))/1000/12</f>
        <v>0.701666666666667</v>
      </c>
      <c r="R6" s="33" t="n">
        <f aca="false">(Hiring!$H$32+SUMPRODUCT((Hiring!$E$37:$E$66&gt;=1)*(Hiring!$E$37:$E$66&lt;=R$4)*Hiring!$D$37:$D$66*Hiring!$H$37:$H$66))/1000/12</f>
        <v>0.701666666666667</v>
      </c>
      <c r="S6" s="33" t="n">
        <f aca="false">(Hiring!$H$32+SUMPRODUCT((Hiring!$E$37:$E$66&gt;=1)*(Hiring!$E$37:$E$66&lt;=S$4)*Hiring!$D$37:$D$66*Hiring!$H$37:$H$66))/1000/12</f>
        <v>0.701666666666667</v>
      </c>
      <c r="T6" s="33" t="n">
        <f aca="false">(Hiring!$H$32+SUMPRODUCT((Hiring!$E$37:$E$66&gt;=1)*(Hiring!$E$37:$E$66&lt;=T$4)*Hiring!$D$37:$D$66*Hiring!$H$37:$H$66))/1000/12</f>
        <v>0.701666666666667</v>
      </c>
      <c r="U6" s="33" t="n">
        <f aca="false">(Hiring!$H$32+SUMPRODUCT((Hiring!$E$37:$E$66&gt;=1)*(Hiring!$E$37:$E$66&lt;=U$4)*Hiring!$D$37:$D$66*Hiring!$H$37:$H$66))/1000/12</f>
        <v>0.701666666666667</v>
      </c>
      <c r="V6" s="33" t="n">
        <f aca="false">(Hiring!$H$32+SUMPRODUCT((Hiring!$E$37:$E$66&gt;=1)*(Hiring!$E$37:$E$66&lt;=V$4)*Hiring!$D$37:$D$66*Hiring!$H$37:$H$66))/1000/12</f>
        <v>0.701666666666667</v>
      </c>
      <c r="W6" s="33" t="n">
        <f aca="false">(Hiring!$H$32+SUMPRODUCT((Hiring!$E$37:$E$66&gt;=1)*(Hiring!$E$37:$E$66&lt;=W$4)*Hiring!$D$37:$D$66*Hiring!$H$37:$H$66))/1000/12</f>
        <v>0.701666666666667</v>
      </c>
      <c r="X6" s="33" t="n">
        <f aca="false">(Hiring!$H$32+SUMPRODUCT((Hiring!$E$37:$E$66&gt;=1)*(Hiring!$E$37:$E$66&lt;=X$4)*Hiring!$D$37:$D$66*Hiring!$H$37:$H$66))/1000/12</f>
        <v>0.701666666666667</v>
      </c>
      <c r="Y6" s="33" t="n">
        <f aca="false">(Hiring!$H$32+SUMPRODUCT((Hiring!$E$37:$E$66&gt;=1)*(Hiring!$E$37:$E$66&lt;=Y$4)*Hiring!$D$37:$D$66*Hiring!$H$37:$H$66))/1000/12</f>
        <v>0.701666666666667</v>
      </c>
    </row>
    <row r="7" customFormat="false" ht="15" hidden="false" customHeight="false" outlineLevel="0" collapsed="false">
      <c r="A7" s="4" t="s">
        <v>319</v>
      </c>
      <c r="B7" s="33" t="n">
        <f aca="false">Assumptions!$B$39*Assumptions!$B$40*730/1000000</f>
        <v>0.4672</v>
      </c>
      <c r="C7" s="33" t="n">
        <f aca="false">Assumptions!$B$39*Assumptions!$B$40*730/1000000</f>
        <v>0.4672</v>
      </c>
      <c r="D7" s="33" t="n">
        <f aca="false">Assumptions!$B$39*Assumptions!$B$40*730/1000000</f>
        <v>0.4672</v>
      </c>
      <c r="E7" s="33" t="n">
        <f aca="false">Assumptions!$B$39*Assumptions!$B$40*730/1000000</f>
        <v>0.4672</v>
      </c>
      <c r="F7" s="33" t="n">
        <f aca="false">Assumptions!$B$39*Assumptions!$B$40*730/1000000</f>
        <v>0.4672</v>
      </c>
      <c r="G7" s="33" t="n">
        <f aca="false">Assumptions!$B$39*Assumptions!$B$40*730/1000000</f>
        <v>0.4672</v>
      </c>
      <c r="H7" s="33" t="n">
        <f aca="false">Assumptions!$B$39*Assumptions!$B$40*730/1000000</f>
        <v>0.4672</v>
      </c>
      <c r="I7" s="33" t="n">
        <f aca="false">Assumptions!$B$39*Assumptions!$B$40*730/1000000</f>
        <v>0.4672</v>
      </c>
      <c r="J7" s="33" t="n">
        <f aca="false">Assumptions!$B$39*Assumptions!$B$40*730/1000000</f>
        <v>0.4672</v>
      </c>
      <c r="K7" s="33" t="n">
        <f aca="false">Assumptions!$B$39*Assumptions!$B$40*730/1000000</f>
        <v>0.4672</v>
      </c>
      <c r="L7" s="33" t="n">
        <f aca="false">Assumptions!$B$39*Assumptions!$B$40*730/1000000</f>
        <v>0.4672</v>
      </c>
      <c r="M7" s="33" t="n">
        <f aca="false">Assumptions!$B$39*Assumptions!$B$40*730/1000000</f>
        <v>0.4672</v>
      </c>
      <c r="N7" s="33" t="n">
        <f aca="false">Assumptions!$B$39*Assumptions!$B$40*730/1000000</f>
        <v>0.4672</v>
      </c>
      <c r="O7" s="33" t="n">
        <f aca="false">Assumptions!$B$39*Assumptions!$B$40*730/1000000</f>
        <v>0.4672</v>
      </c>
      <c r="P7" s="33" t="n">
        <f aca="false">Assumptions!$B$39*Assumptions!$B$40*730/1000000</f>
        <v>0.4672</v>
      </c>
      <c r="Q7" s="33" t="n">
        <f aca="false">Assumptions!$B$39*Assumptions!$B$40*730/1000000</f>
        <v>0.4672</v>
      </c>
      <c r="R7" s="33" t="n">
        <f aca="false">Assumptions!$B$39*Assumptions!$B$40*730/1000000</f>
        <v>0.4672</v>
      </c>
      <c r="S7" s="33" t="n">
        <f aca="false">Assumptions!$B$39*Assumptions!$B$40*730/1000000</f>
        <v>0.4672</v>
      </c>
      <c r="T7" s="33" t="n">
        <f aca="false">Assumptions!$B$39*Assumptions!$B$40*730/1000000</f>
        <v>0.4672</v>
      </c>
      <c r="U7" s="33" t="n">
        <f aca="false">Assumptions!$B$39*Assumptions!$B$40*730/1000000</f>
        <v>0.4672</v>
      </c>
      <c r="V7" s="33" t="n">
        <f aca="false">Assumptions!$B$39*Assumptions!$B$40*730/1000000</f>
        <v>0.4672</v>
      </c>
      <c r="W7" s="33" t="n">
        <f aca="false">Assumptions!$B$39*Assumptions!$B$40*730/1000000</f>
        <v>0.4672</v>
      </c>
      <c r="X7" s="33" t="n">
        <f aca="false">Assumptions!$B$39*Assumptions!$B$40*730/1000000</f>
        <v>0.4672</v>
      </c>
      <c r="Y7" s="33" t="n">
        <f aca="false">Assumptions!$B$39*Assumptions!$B$40*730/1000000</f>
        <v>0.4672</v>
      </c>
    </row>
    <row r="8" customFormat="false" ht="15" hidden="false" customHeight="false" outlineLevel="0" collapsed="false">
      <c r="A8" s="4" t="s">
        <v>320</v>
      </c>
      <c r="B8" s="33" t="n">
        <f aca="false">Assumptions!$B$37/12</f>
        <v>0.25</v>
      </c>
      <c r="C8" s="33" t="n">
        <f aca="false">Assumptions!$B$37/12</f>
        <v>0.25</v>
      </c>
      <c r="D8" s="33" t="n">
        <f aca="false">Assumptions!$B$37/12</f>
        <v>0.25</v>
      </c>
      <c r="E8" s="33" t="n">
        <f aca="false">Assumptions!$B$37/12</f>
        <v>0.25</v>
      </c>
      <c r="F8" s="33" t="n">
        <f aca="false">Assumptions!$B$37/12</f>
        <v>0.25</v>
      </c>
      <c r="G8" s="33" t="n">
        <f aca="false">Assumptions!$B$37/12</f>
        <v>0.25</v>
      </c>
      <c r="H8" s="33" t="n">
        <f aca="false">Assumptions!$B$37/12</f>
        <v>0.25</v>
      </c>
      <c r="I8" s="33" t="n">
        <f aca="false">Assumptions!$B$37/12</f>
        <v>0.25</v>
      </c>
      <c r="J8" s="33" t="n">
        <f aca="false">Assumptions!$B$37/12</f>
        <v>0.25</v>
      </c>
      <c r="K8" s="33" t="n">
        <f aca="false">Assumptions!$B$37/12</f>
        <v>0.25</v>
      </c>
      <c r="L8" s="33" t="n">
        <f aca="false">Assumptions!$B$37/12</f>
        <v>0.25</v>
      </c>
      <c r="M8" s="33" t="n">
        <f aca="false">Assumptions!$B$37/12</f>
        <v>0.25</v>
      </c>
      <c r="N8" s="33" t="n">
        <f aca="false">Assumptions!$B$37/12</f>
        <v>0.25</v>
      </c>
      <c r="O8" s="33" t="n">
        <f aca="false">Assumptions!$B$37/12</f>
        <v>0.25</v>
      </c>
      <c r="P8" s="33" t="n">
        <f aca="false">Assumptions!$B$37/12</f>
        <v>0.25</v>
      </c>
      <c r="Q8" s="33" t="n">
        <f aca="false">Assumptions!$B$37/12</f>
        <v>0.25</v>
      </c>
      <c r="R8" s="33" t="n">
        <f aca="false">Assumptions!$B$37/12</f>
        <v>0.25</v>
      </c>
      <c r="S8" s="33" t="n">
        <f aca="false">Assumptions!$B$37/12</f>
        <v>0.25</v>
      </c>
      <c r="T8" s="33" t="n">
        <f aca="false">Assumptions!$B$37/12</f>
        <v>0.25</v>
      </c>
      <c r="U8" s="33" t="n">
        <f aca="false">Assumptions!$B$37/12</f>
        <v>0.25</v>
      </c>
      <c r="V8" s="33" t="n">
        <f aca="false">Assumptions!$B$37/12</f>
        <v>0.25</v>
      </c>
      <c r="W8" s="33" t="n">
        <f aca="false">Assumptions!$B$37/12</f>
        <v>0.25</v>
      </c>
      <c r="X8" s="33" t="n">
        <f aca="false">Assumptions!$B$37/12</f>
        <v>0.25</v>
      </c>
      <c r="Y8" s="33" t="n">
        <f aca="false">Assumptions!$B$37/12</f>
        <v>0.25</v>
      </c>
    </row>
    <row r="9" customFormat="false" ht="15" hidden="false" customHeight="false" outlineLevel="0" collapsed="false">
      <c r="A9" s="4" t="s">
        <v>321</v>
      </c>
      <c r="B9" s="33" t="n">
        <f aca="false">IF(Assumptions!$B$6=0,0,Assumptions!$B$45*Assumptions!$B$10*Assumptions!$B$46*B13/Assumptions!$B$6/1000000)</f>
        <v>0.00601858539168954</v>
      </c>
      <c r="C9" s="33" t="n">
        <f aca="false">IF(Assumptions!$B$6=0,0,Assumptions!$B$45*Assumptions!$B$10*Assumptions!$B$46*C13/Assumptions!$B$6/1000000)</f>
        <v>0.00583802782993885</v>
      </c>
      <c r="D9" s="33" t="n">
        <f aca="false">IF(Assumptions!$B$6=0,0,Assumptions!$B$45*Assumptions!$B$10*Assumptions!$B$46*D13/Assumptions!$B$6/1000000)</f>
        <v>0.00566288699504069</v>
      </c>
      <c r="E9" s="33" t="n">
        <f aca="false">IF(Assumptions!$B$6=0,0,Assumptions!$B$45*Assumptions!$B$10*Assumptions!$B$46*E13/Assumptions!$B$6/1000000)</f>
        <v>0.00549300038518946</v>
      </c>
      <c r="F9" s="33" t="n">
        <f aca="false">IF(Assumptions!$B$6=0,0,Assumptions!$B$45*Assumptions!$B$10*Assumptions!$B$46*F13/Assumptions!$B$6/1000000)</f>
        <v>0.00532821037363378</v>
      </c>
      <c r="G9" s="33" t="n">
        <f aca="false">IF(Assumptions!$B$6=0,0,Assumptions!$B$45*Assumptions!$B$10*Assumptions!$B$46*G13/Assumptions!$B$6/1000000)</f>
        <v>0.00516836406242477</v>
      </c>
      <c r="H9" s="33" t="n">
        <f aca="false">IF(Assumptions!$B$6=0,0,Assumptions!$B$45*Assumptions!$B$10*Assumptions!$B$46*H13/Assumptions!$B$6/1000000)</f>
        <v>0.00501331314055202</v>
      </c>
      <c r="I9" s="33" t="n">
        <f aca="false">IF(Assumptions!$B$6=0,0,Assumptions!$B$45*Assumptions!$B$10*Assumptions!$B$46*I13/Assumptions!$B$6/1000000)</f>
        <v>0.00486291374633546</v>
      </c>
      <c r="J9" s="33" t="n">
        <f aca="false">IF(Assumptions!$B$6=0,0,Assumptions!$B$45*Assumptions!$B$10*Assumptions!$B$46*J13/Assumptions!$B$6/1000000)</f>
        <v>0.0047170263339454</v>
      </c>
      <c r="K9" s="33" t="n">
        <f aca="false">IF(Assumptions!$B$6=0,0,Assumptions!$B$45*Assumptions!$B$10*Assumptions!$B$46*K13/Assumptions!$B$6/1000000)</f>
        <v>0.00457551554392704</v>
      </c>
      <c r="L9" s="33" t="n">
        <f aca="false">IF(Assumptions!$B$6=0,0,Assumptions!$B$45*Assumptions!$B$10*Assumptions!$B$46*L13/Assumptions!$B$6/1000000)</f>
        <v>0.00443825007760923</v>
      </c>
      <c r="M9" s="33" t="n">
        <f aca="false">IF(Assumptions!$B$6=0,0,Assumptions!$B$45*Assumptions!$B$10*Assumptions!$B$46*M13/Assumptions!$B$6/1000000)</f>
        <v>0.00430510257528095</v>
      </c>
      <c r="N9" s="33" t="n">
        <f aca="false">IF(Assumptions!$B$6=0,0,Assumptions!$B$45*Assumptions!$B$10*Assumptions!$B$46*N13/Assumptions!$B$6/1000000)</f>
        <v>0.00417594949802252</v>
      </c>
      <c r="O9" s="33" t="n">
        <f aca="false">IF(Assumptions!$B$6=0,0,Assumptions!$B$45*Assumptions!$B$10*Assumptions!$B$46*O13/Assumptions!$B$6/1000000)</f>
        <v>0.00405067101308185</v>
      </c>
      <c r="P9" s="33" t="n">
        <f aca="false">IF(Assumptions!$B$6=0,0,Assumptions!$B$45*Assumptions!$B$10*Assumptions!$B$46*P13/Assumptions!$B$6/1000000)</f>
        <v>0.00392915088268939</v>
      </c>
      <c r="Q9" s="33" t="n">
        <f aca="false">IF(Assumptions!$B$6=0,0,Assumptions!$B$45*Assumptions!$B$10*Assumptions!$B$46*Q13/Assumptions!$B$6/1000000)</f>
        <v>0.00381127635620871</v>
      </c>
      <c r="R9" s="33" t="n">
        <f aca="false">IF(Assumptions!$B$6=0,0,Assumptions!$B$45*Assumptions!$B$10*Assumptions!$B$46*R13/Assumptions!$B$6/1000000)</f>
        <v>0.00369693806552245</v>
      </c>
      <c r="S9" s="33" t="n">
        <f aca="false">IF(Assumptions!$B$6=0,0,Assumptions!$B$45*Assumptions!$B$10*Assumptions!$B$46*S13/Assumptions!$B$6/1000000)</f>
        <v>0.00358602992355677</v>
      </c>
      <c r="T9" s="33" t="n">
        <f aca="false">IF(Assumptions!$B$6=0,0,Assumptions!$B$45*Assumptions!$B$10*Assumptions!$B$46*T13/Assumptions!$B$6/1000000)</f>
        <v>0.00347844902585007</v>
      </c>
      <c r="U9" s="33" t="n">
        <f aca="false">IF(Assumptions!$B$6=0,0,Assumptions!$B$45*Assumptions!$B$10*Assumptions!$B$46*U13/Assumptions!$B$6/1000000)</f>
        <v>0.00337409555507457</v>
      </c>
      <c r="V9" s="33" t="n">
        <f aca="false">IF(Assumptions!$B$6=0,0,Assumptions!$B$45*Assumptions!$B$10*Assumptions!$B$46*V13/Assumptions!$B$6/1000000)</f>
        <v>0.00327287268842233</v>
      </c>
      <c r="W9" s="33" t="n">
        <f aca="false">IF(Assumptions!$B$6=0,0,Assumptions!$B$45*Assumptions!$B$10*Assumptions!$B$46*W13/Assumptions!$B$6/1000000)</f>
        <v>0.00317468650776966</v>
      </c>
      <c r="X9" s="33" t="n">
        <f aca="false">IF(Assumptions!$B$6=0,0,Assumptions!$B$45*Assumptions!$B$10*Assumptions!$B$46*X13/Assumptions!$B$6/1000000)</f>
        <v>0.00307944591253657</v>
      </c>
      <c r="Y9" s="33" t="n">
        <f aca="false">IF(Assumptions!$B$6=0,0,Assumptions!$B$45*Assumptions!$B$10*Assumptions!$B$46*Y13/Assumptions!$B$6/1000000)</f>
        <v>0.00298706253516047</v>
      </c>
    </row>
    <row r="10" customFormat="false" ht="15" hidden="false" customHeight="false" outlineLevel="0" collapsed="false">
      <c r="A10" s="4" t="s">
        <v>322</v>
      </c>
      <c r="B10" s="34" t="n">
        <f aca="false">Assumptions!$B$48*(1+Assumptions!$B$51)^(B$4-1)</f>
        <v>90</v>
      </c>
      <c r="C10" s="34" t="n">
        <f aca="false">Assumptions!$B$48*(1+Assumptions!$B$51)^(C$4-1)</f>
        <v>103.5</v>
      </c>
      <c r="D10" s="34" t="n">
        <f aca="false">Assumptions!$B$48*(1+Assumptions!$B$51)^(D$4-1)</f>
        <v>119.025</v>
      </c>
      <c r="E10" s="34" t="n">
        <f aca="false">Assumptions!$B$48*(1+Assumptions!$B$51)^(E$4-1)</f>
        <v>136.87875</v>
      </c>
      <c r="F10" s="34" t="n">
        <f aca="false">Assumptions!$B$48*(1+Assumptions!$B$51)^(F$4-1)</f>
        <v>157.4105625</v>
      </c>
      <c r="G10" s="34" t="n">
        <f aca="false">Assumptions!$B$48*(1+Assumptions!$B$51)^(G$4-1)</f>
        <v>181.022146875</v>
      </c>
      <c r="H10" s="34" t="n">
        <f aca="false">Assumptions!$B$48*(1+Assumptions!$B$51)^(H$4-1)</f>
        <v>208.17546890625</v>
      </c>
      <c r="I10" s="34" t="n">
        <f aca="false">Assumptions!$B$48*(1+Assumptions!$B$51)^(I$4-1)</f>
        <v>239.401789242187</v>
      </c>
      <c r="J10" s="34" t="n">
        <f aca="false">Assumptions!$B$48*(1+Assumptions!$B$51)^(J$4-1)</f>
        <v>275.312057628515</v>
      </c>
      <c r="K10" s="34" t="n">
        <f aca="false">Assumptions!$B$48*(1+Assumptions!$B$51)^(K$4-1)</f>
        <v>316.608866272793</v>
      </c>
      <c r="L10" s="34" t="n">
        <f aca="false">Assumptions!$B$48*(1+Assumptions!$B$51)^(L$4-1)</f>
        <v>364.100196213712</v>
      </c>
      <c r="M10" s="34" t="n">
        <f aca="false">Assumptions!$B$48*(1+Assumptions!$B$51)^(M$4-1)</f>
        <v>418.715225645768</v>
      </c>
      <c r="N10" s="34" t="n">
        <f aca="false">Assumptions!$B$48*(1+Assumptions!$B$51)^(N$4-1)</f>
        <v>481.522509492634</v>
      </c>
      <c r="O10" s="34" t="n">
        <f aca="false">Assumptions!$B$48*(1+Assumptions!$B$51)^(O$4-1)</f>
        <v>553.750885916529</v>
      </c>
      <c r="P10" s="34" t="n">
        <f aca="false">Assumptions!$B$48*(1+Assumptions!$B$51)^(P$4-1)</f>
        <v>636.813518804008</v>
      </c>
      <c r="Q10" s="34" t="n">
        <f aca="false">Assumptions!$B$48*(1+Assumptions!$B$51)^(Q$4-1)</f>
        <v>732.335546624609</v>
      </c>
      <c r="R10" s="34" t="n">
        <f aca="false">Assumptions!$B$48*(1+Assumptions!$B$51)^(R$4-1)</f>
        <v>842.1858786183</v>
      </c>
      <c r="S10" s="34" t="n">
        <f aca="false">Assumptions!$B$48*(1+Assumptions!$B$51)^(S$4-1)</f>
        <v>968.513760411045</v>
      </c>
      <c r="T10" s="34" t="n">
        <f aca="false">Assumptions!$B$48*(1+Assumptions!$B$51)^(T$4-1)</f>
        <v>1113.7908244727</v>
      </c>
      <c r="U10" s="34" t="n">
        <f aca="false">Assumptions!$B$48*(1+Assumptions!$B$51)^(U$4-1)</f>
        <v>1280.85944814361</v>
      </c>
      <c r="V10" s="34" t="n">
        <f aca="false">Assumptions!$B$48*(1+Assumptions!$B$51)^(V$4-1)</f>
        <v>1472.98836536515</v>
      </c>
      <c r="W10" s="34" t="n">
        <f aca="false">Assumptions!$B$48*(1+Assumptions!$B$51)^(W$4-1)</f>
        <v>1693.93662016992</v>
      </c>
      <c r="X10" s="34" t="n">
        <f aca="false">Assumptions!$B$48*(1+Assumptions!$B$51)^(X$4-1)</f>
        <v>1948.02711319541</v>
      </c>
      <c r="Y10" s="34" t="n">
        <f aca="false">Assumptions!$B$48*(1+Assumptions!$B$51)^(Y$4-1)</f>
        <v>2240.23118017472</v>
      </c>
    </row>
    <row r="11" customFormat="false" ht="15" hidden="false" customHeight="false" outlineLevel="0" collapsed="false">
      <c r="A11" s="4" t="s">
        <v>323</v>
      </c>
      <c r="B11" s="34" t="n">
        <f aca="false">B10*1000000000/Assumptions!$B$24/1000000</f>
        <v>98.5581310458113</v>
      </c>
      <c r="C11" s="34" t="n">
        <f aca="false">C10*1000000000/Assumptions!$B$24/1000000</f>
        <v>113.341850702683</v>
      </c>
      <c r="D11" s="34" t="n">
        <f aca="false">D10*1000000000/Assumptions!$B$24/1000000</f>
        <v>130.343128308085</v>
      </c>
      <c r="E11" s="34" t="n">
        <f aca="false">E10*1000000000/Assumptions!$B$24/1000000</f>
        <v>149.894597554298</v>
      </c>
      <c r="F11" s="34" t="n">
        <f aca="false">F10*1000000000/Assumptions!$B$24/1000000</f>
        <v>172.378787187443</v>
      </c>
      <c r="G11" s="34" t="n">
        <f aca="false">G10*1000000000/Assumptions!$B$24/1000000</f>
        <v>198.235605265559</v>
      </c>
      <c r="H11" s="34" t="n">
        <f aca="false">H10*1000000000/Assumptions!$B$24/1000000</f>
        <v>227.970946055393</v>
      </c>
      <c r="I11" s="34" t="n">
        <f aca="false">I10*1000000000/Assumptions!$B$24/1000000</f>
        <v>262.166587963702</v>
      </c>
      <c r="J11" s="34" t="n">
        <f aca="false">J10*1000000000/Assumptions!$B$24/1000000</f>
        <v>301.491576158258</v>
      </c>
      <c r="K11" s="34" t="n">
        <f aca="false">K10*1000000000/Assumptions!$B$24/1000000</f>
        <v>346.715312581996</v>
      </c>
      <c r="L11" s="34" t="n">
        <f aca="false">L10*1000000000/Assumptions!$B$24/1000000</f>
        <v>398.722609469295</v>
      </c>
      <c r="M11" s="34" t="n">
        <f aca="false">M10*1000000000/Assumptions!$B$24/1000000</f>
        <v>458.53100088969</v>
      </c>
      <c r="N11" s="34" t="n">
        <f aca="false">N10*1000000000/Assumptions!$B$24/1000000</f>
        <v>527.310651023143</v>
      </c>
      <c r="O11" s="34" t="n">
        <f aca="false">O10*1000000000/Assumptions!$B$24/1000000</f>
        <v>606.407248676615</v>
      </c>
      <c r="P11" s="34" t="n">
        <f aca="false">P10*1000000000/Assumptions!$B$24/1000000</f>
        <v>697.368335978107</v>
      </c>
      <c r="Q11" s="34" t="n">
        <f aca="false">Q10*1000000000/Assumptions!$B$24/1000000</f>
        <v>801.973586374823</v>
      </c>
      <c r="R11" s="34" t="n">
        <f aca="false">R10*1000000000/Assumptions!$B$24/1000000</f>
        <v>922.269624331046</v>
      </c>
      <c r="S11" s="34" t="n">
        <f aca="false">S10*1000000000/Assumptions!$B$24/1000000</f>
        <v>1060.6100679807</v>
      </c>
      <c r="T11" s="34" t="n">
        <f aca="false">T10*1000000000/Assumptions!$B$24/1000000</f>
        <v>1219.70157817781</v>
      </c>
      <c r="U11" s="34" t="n">
        <f aca="false">U10*1000000000/Assumptions!$B$24/1000000</f>
        <v>1402.65681490448</v>
      </c>
      <c r="V11" s="34" t="n">
        <f aca="false">V10*1000000000/Assumptions!$B$24/1000000</f>
        <v>1613.05533714015</v>
      </c>
      <c r="W11" s="34" t="n">
        <f aca="false">W10*1000000000/Assumptions!$B$24/1000000</f>
        <v>1855.01363771117</v>
      </c>
      <c r="X11" s="34" t="n">
        <f aca="false">X10*1000000000/Assumptions!$B$24/1000000</f>
        <v>2133.26568336785</v>
      </c>
      <c r="Y11" s="34" t="n">
        <f aca="false">Y10*1000000000/Assumptions!$B$24/1000000</f>
        <v>2453.25553587303</v>
      </c>
    </row>
    <row r="12" customFormat="false" ht="15" hidden="false" customHeight="false" outlineLevel="0" collapsed="false">
      <c r="A12" s="4" t="s">
        <v>324</v>
      </c>
      <c r="B12" s="23" t="n">
        <f aca="false">B10*1000000000*30.4/1000000</f>
        <v>2736000</v>
      </c>
      <c r="C12" s="23" t="n">
        <f aca="false">C10*1000000000*30.4/1000000</f>
        <v>3146400</v>
      </c>
      <c r="D12" s="23" t="n">
        <f aca="false">D10*1000000000*30.4/1000000</f>
        <v>3618360</v>
      </c>
      <c r="E12" s="23" t="n">
        <f aca="false">E10*1000000000*30.4/1000000</f>
        <v>4161114</v>
      </c>
      <c r="F12" s="23" t="n">
        <f aca="false">F10*1000000000*30.4/1000000</f>
        <v>4785281.1</v>
      </c>
      <c r="G12" s="23" t="n">
        <f aca="false">G10*1000000000*30.4/1000000</f>
        <v>5503073.265</v>
      </c>
      <c r="H12" s="23" t="n">
        <f aca="false">H10*1000000000*30.4/1000000</f>
        <v>6328534.25475</v>
      </c>
      <c r="I12" s="23" t="n">
        <f aca="false">I10*1000000000*30.4/1000000</f>
        <v>7277814.3929625</v>
      </c>
      <c r="J12" s="23" t="n">
        <f aca="false">J10*1000000000*30.4/1000000</f>
        <v>8369486.55190687</v>
      </c>
      <c r="K12" s="23" t="n">
        <f aca="false">K10*1000000000*30.4/1000000</f>
        <v>9624909.5346929</v>
      </c>
      <c r="L12" s="23" t="n">
        <f aca="false">L10*1000000000*30.4/1000000</f>
        <v>11068645.9648968</v>
      </c>
      <c r="M12" s="23" t="n">
        <f aca="false">M10*1000000000*30.4/1000000</f>
        <v>12728942.8596314</v>
      </c>
      <c r="N12" s="23" t="n">
        <f aca="false">N10*1000000000*30.4/1000000</f>
        <v>14638284.2885761</v>
      </c>
      <c r="O12" s="23" t="n">
        <f aca="false">O10*1000000000*30.4/1000000</f>
        <v>16834026.9318625</v>
      </c>
      <c r="P12" s="23" t="n">
        <f aca="false">P10*1000000000*30.4/1000000</f>
        <v>19359130.9716418</v>
      </c>
      <c r="Q12" s="23" t="n">
        <f aca="false">Q10*1000000000*30.4/1000000</f>
        <v>22263000.6173881</v>
      </c>
      <c r="R12" s="23" t="n">
        <f aca="false">R10*1000000000*30.4/1000000</f>
        <v>25602450.7099963</v>
      </c>
      <c r="S12" s="23" t="n">
        <f aca="false">S10*1000000000*30.4/1000000</f>
        <v>29442818.3164958</v>
      </c>
      <c r="T12" s="23" t="n">
        <f aca="false">T10*1000000000*30.4/1000000</f>
        <v>33859241.0639701</v>
      </c>
      <c r="U12" s="23" t="n">
        <f aca="false">U10*1000000000*30.4/1000000</f>
        <v>38938127.2235656</v>
      </c>
      <c r="V12" s="23" t="n">
        <f aca="false">V10*1000000000*30.4/1000000</f>
        <v>44778846.3071005</v>
      </c>
      <c r="W12" s="23" t="n">
        <f aca="false">W10*1000000000*30.4/1000000</f>
        <v>51495673.2531656</v>
      </c>
      <c r="X12" s="23" t="n">
        <f aca="false">X10*1000000000*30.4/1000000</f>
        <v>59220024.2411404</v>
      </c>
      <c r="Y12" s="23" t="n">
        <f aca="false">Y10*1000000000*30.4/1000000</f>
        <v>68103027.8773114</v>
      </c>
    </row>
    <row r="13" customFormat="false" ht="15" hidden="false" customHeight="false" outlineLevel="0" collapsed="false">
      <c r="A13" s="4" t="s">
        <v>303</v>
      </c>
      <c r="B13" s="45" t="n">
        <f aca="false">UnitEcon!$B$12*(1-Assumptions!$B$52)^(B$4-1)</f>
        <v>0.056173463655769</v>
      </c>
      <c r="C13" s="45" t="n">
        <f aca="false">UnitEcon!$B$12*(1-Assumptions!$B$52)^(C$4-1)</f>
        <v>0.054488259746096</v>
      </c>
      <c r="D13" s="45" t="n">
        <f aca="false">UnitEcon!$B$12*(1-Assumptions!$B$52)^(D$4-1)</f>
        <v>0.0528536119537131</v>
      </c>
      <c r="E13" s="45" t="n">
        <f aca="false">UnitEcon!$B$12*(1-Assumptions!$B$52)^(E$4-1)</f>
        <v>0.0512680035951017</v>
      </c>
      <c r="F13" s="45" t="n">
        <f aca="false">UnitEcon!$B$12*(1-Assumptions!$B$52)^(F$4-1)</f>
        <v>0.0497299634872486</v>
      </c>
      <c r="G13" s="45" t="n">
        <f aca="false">UnitEcon!$B$12*(1-Assumptions!$B$52)^(G$4-1)</f>
        <v>0.0482380645826312</v>
      </c>
      <c r="H13" s="45" t="n">
        <f aca="false">UnitEcon!$B$12*(1-Assumptions!$B$52)^(H$4-1)</f>
        <v>0.0467909226451522</v>
      </c>
      <c r="I13" s="45" t="n">
        <f aca="false">UnitEcon!$B$12*(1-Assumptions!$B$52)^(I$4-1)</f>
        <v>0.0453871949657977</v>
      </c>
      <c r="J13" s="45" t="n">
        <f aca="false">UnitEcon!$B$12*(1-Assumptions!$B$52)^(J$4-1)</f>
        <v>0.0440255791168237</v>
      </c>
      <c r="K13" s="45" t="n">
        <f aca="false">UnitEcon!$B$12*(1-Assumptions!$B$52)^(K$4-1)</f>
        <v>0.042704811743319</v>
      </c>
      <c r="L13" s="45" t="n">
        <f aca="false">UnitEcon!$B$12*(1-Assumptions!$B$52)^(L$4-1)</f>
        <v>0.0414236673910194</v>
      </c>
      <c r="M13" s="45" t="n">
        <f aca="false">UnitEcon!$B$12*(1-Assumptions!$B$52)^(M$4-1)</f>
        <v>0.0401809573692889</v>
      </c>
      <c r="N13" s="45" t="n">
        <f aca="false">UnitEcon!$B$12*(1-Assumptions!$B$52)^(N$4-1)</f>
        <v>0.0389755286482102</v>
      </c>
      <c r="O13" s="45" t="n">
        <f aca="false">UnitEcon!$B$12*(1-Assumptions!$B$52)^(O$4-1)</f>
        <v>0.0378062627887639</v>
      </c>
      <c r="P13" s="45" t="n">
        <f aca="false">UnitEcon!$B$12*(1-Assumptions!$B$52)^(P$4-1)</f>
        <v>0.036672074905101</v>
      </c>
      <c r="Q13" s="45" t="n">
        <f aca="false">UnitEcon!$B$12*(1-Assumptions!$B$52)^(Q$4-1)</f>
        <v>0.0355719126579479</v>
      </c>
      <c r="R13" s="45" t="n">
        <f aca="false">UnitEcon!$B$12*(1-Assumptions!$B$52)^(R$4-1)</f>
        <v>0.0345047552782095</v>
      </c>
      <c r="S13" s="45" t="n">
        <f aca="false">UnitEcon!$B$12*(1-Assumptions!$B$52)^(S$4-1)</f>
        <v>0.0334696126198632</v>
      </c>
      <c r="T13" s="45" t="n">
        <f aca="false">UnitEcon!$B$12*(1-Assumptions!$B$52)^(T$4-1)</f>
        <v>0.0324655242412673</v>
      </c>
      <c r="U13" s="45" t="n">
        <f aca="false">UnitEcon!$B$12*(1-Assumptions!$B$52)^(U$4-1)</f>
        <v>0.0314915585140293</v>
      </c>
      <c r="V13" s="45" t="n">
        <f aca="false">UnitEcon!$B$12*(1-Assumptions!$B$52)^(V$4-1)</f>
        <v>0.0305468117586084</v>
      </c>
      <c r="W13" s="45" t="n">
        <f aca="false">UnitEcon!$B$12*(1-Assumptions!$B$52)^(W$4-1)</f>
        <v>0.0296304074058502</v>
      </c>
      <c r="X13" s="45" t="n">
        <f aca="false">UnitEcon!$B$12*(1-Assumptions!$B$52)^(X$4-1)</f>
        <v>0.0287414951836747</v>
      </c>
      <c r="Y13" s="45" t="n">
        <f aca="false">UnitEcon!$B$12*(1-Assumptions!$B$52)^(Y$4-1)</f>
        <v>0.0278792503281644</v>
      </c>
    </row>
    <row r="14" customFormat="false" ht="15" hidden="false" customHeight="false" outlineLevel="0" collapsed="false">
      <c r="A14" s="4" t="s">
        <v>325</v>
      </c>
      <c r="B14" s="33" t="n">
        <f aca="false">B12*Assumptions!$B$6/1000000</f>
        <v>0.114912</v>
      </c>
      <c r="C14" s="33" t="n">
        <f aca="false">C12*Assumptions!$B$6/1000000</f>
        <v>0.1321488</v>
      </c>
      <c r="D14" s="33" t="n">
        <f aca="false">D12*Assumptions!$B$6/1000000</f>
        <v>0.15197112</v>
      </c>
      <c r="E14" s="33" t="n">
        <f aca="false">E12*Assumptions!$B$6/1000000</f>
        <v>0.174766788</v>
      </c>
      <c r="F14" s="33" t="n">
        <f aca="false">F12*Assumptions!$B$6/1000000</f>
        <v>0.2009818062</v>
      </c>
      <c r="G14" s="33" t="n">
        <f aca="false">G12*Assumptions!$B$6/1000000</f>
        <v>0.23112907713</v>
      </c>
      <c r="H14" s="33" t="n">
        <f aca="false">H12*Assumptions!$B$6/1000000</f>
        <v>0.2657984386995</v>
      </c>
      <c r="I14" s="33" t="n">
        <f aca="false">I12*Assumptions!$B$6/1000000</f>
        <v>0.305668204504425</v>
      </c>
      <c r="J14" s="33" t="n">
        <f aca="false">J12*Assumptions!$B$6/1000000</f>
        <v>0.351518435180089</v>
      </c>
      <c r="K14" s="33" t="n">
        <f aca="false">K12*Assumptions!$B$6/1000000</f>
        <v>0.404246200457102</v>
      </c>
      <c r="L14" s="33" t="n">
        <f aca="false">L12*Assumptions!$B$6/1000000</f>
        <v>0.464883130525667</v>
      </c>
      <c r="M14" s="33" t="n">
        <f aca="false">M12*Assumptions!$B$6/1000000</f>
        <v>0.534615600104517</v>
      </c>
      <c r="N14" s="33" t="n">
        <f aca="false">N12*Assumptions!$B$6/1000000</f>
        <v>0.614807940120195</v>
      </c>
      <c r="O14" s="33" t="n">
        <f aca="false">O12*Assumptions!$B$6/1000000</f>
        <v>0.707029131138224</v>
      </c>
      <c r="P14" s="33" t="n">
        <f aca="false">P12*Assumptions!$B$6/1000000</f>
        <v>0.813083500808957</v>
      </c>
      <c r="Q14" s="33" t="n">
        <f aca="false">Q12*Assumptions!$B$6/1000000</f>
        <v>0.935046025930301</v>
      </c>
      <c r="R14" s="33" t="n">
        <f aca="false">R12*Assumptions!$B$6/1000000</f>
        <v>1.07530292981985</v>
      </c>
      <c r="S14" s="33" t="n">
        <f aca="false">S12*Assumptions!$B$6/1000000</f>
        <v>1.23659836929282</v>
      </c>
      <c r="T14" s="33" t="n">
        <f aca="false">T12*Assumptions!$B$6/1000000</f>
        <v>1.42208812468675</v>
      </c>
      <c r="U14" s="33" t="n">
        <f aca="false">U12*Assumptions!$B$6/1000000</f>
        <v>1.63540134338976</v>
      </c>
      <c r="V14" s="33" t="n">
        <f aca="false">V12*Assumptions!$B$6/1000000</f>
        <v>1.88071154489822</v>
      </c>
      <c r="W14" s="33" t="n">
        <f aca="false">W12*Assumptions!$B$6/1000000</f>
        <v>2.16281827663295</v>
      </c>
      <c r="X14" s="33" t="n">
        <f aca="false">X12*Assumptions!$B$6/1000000</f>
        <v>2.4872410181279</v>
      </c>
      <c r="Y14" s="33" t="n">
        <f aca="false">Y12*Assumptions!$B$6/1000000</f>
        <v>2.86032717084708</v>
      </c>
    </row>
    <row r="15" customFormat="false" ht="15" hidden="false" customHeight="false" outlineLevel="0" collapsed="false">
      <c r="A15" s="4" t="s">
        <v>326</v>
      </c>
      <c r="B15" s="33" t="n">
        <f aca="false">B14*UnitEcon!$B$15</f>
        <v>0.004366656</v>
      </c>
      <c r="C15" s="33" t="n">
        <f aca="false">C14*UnitEcon!$B$15</f>
        <v>0.0050216544</v>
      </c>
      <c r="D15" s="33" t="n">
        <f aca="false">D14*UnitEcon!$B$15</f>
        <v>0.00577490256</v>
      </c>
      <c r="E15" s="33" t="n">
        <f aca="false">E14*UnitEcon!$B$15</f>
        <v>0.006641137944</v>
      </c>
      <c r="F15" s="33" t="n">
        <f aca="false">F14*UnitEcon!$B$15</f>
        <v>0.0076373086356</v>
      </c>
      <c r="G15" s="33" t="n">
        <f aca="false">G14*UnitEcon!$B$15</f>
        <v>0.00878290493094</v>
      </c>
      <c r="H15" s="33" t="n">
        <f aca="false">H14*UnitEcon!$B$15</f>
        <v>0.010100340670581</v>
      </c>
      <c r="I15" s="33" t="n">
        <f aca="false">I14*UnitEcon!$B$15</f>
        <v>0.0116153917711681</v>
      </c>
      <c r="J15" s="33" t="n">
        <f aca="false">J14*UnitEcon!$B$15</f>
        <v>0.0133577005368434</v>
      </c>
      <c r="K15" s="33" t="n">
        <f aca="false">K14*UnitEcon!$B$15</f>
        <v>0.0153613556173699</v>
      </c>
      <c r="L15" s="33" t="n">
        <f aca="false">L14*UnitEcon!$B$15</f>
        <v>0.0176655589599753</v>
      </c>
      <c r="M15" s="33" t="n">
        <f aca="false">M14*UnitEcon!$B$15</f>
        <v>0.0203153928039716</v>
      </c>
      <c r="N15" s="33" t="n">
        <f aca="false">N14*UnitEcon!$B$15</f>
        <v>0.0233627017245674</v>
      </c>
      <c r="O15" s="33" t="n">
        <f aca="false">O14*UnitEcon!$B$15</f>
        <v>0.0268671069832525</v>
      </c>
      <c r="P15" s="33" t="n">
        <f aca="false">P14*UnitEcon!$B$15</f>
        <v>0.0308971730307404</v>
      </c>
      <c r="Q15" s="33" t="n">
        <f aca="false">Q14*UnitEcon!$B$15</f>
        <v>0.0355317489853514</v>
      </c>
      <c r="R15" s="33" t="n">
        <f aca="false">R14*UnitEcon!$B$15</f>
        <v>0.0408615113331541</v>
      </c>
      <c r="S15" s="33" t="n">
        <f aca="false">S14*UnitEcon!$B$15</f>
        <v>0.0469907380331273</v>
      </c>
      <c r="T15" s="33" t="n">
        <f aca="false">T14*UnitEcon!$B$15</f>
        <v>0.0540393487380963</v>
      </c>
      <c r="U15" s="33" t="n">
        <f aca="false">U14*UnitEcon!$B$15</f>
        <v>0.0621452510488108</v>
      </c>
      <c r="V15" s="33" t="n">
        <f aca="false">V14*UnitEcon!$B$15</f>
        <v>0.0714670387061324</v>
      </c>
      <c r="W15" s="33" t="n">
        <f aca="false">W14*UnitEcon!$B$15</f>
        <v>0.0821870945120523</v>
      </c>
      <c r="X15" s="33" t="n">
        <f aca="false">X14*UnitEcon!$B$15</f>
        <v>0.0945151586888601</v>
      </c>
      <c r="Y15" s="33" t="n">
        <f aca="false">Y14*UnitEcon!$B$15</f>
        <v>0.108692432492189</v>
      </c>
    </row>
    <row r="16" customFormat="false" ht="15" hidden="false" customHeight="false" outlineLevel="0" collapsed="false">
      <c r="A16" s="4" t="s">
        <v>327</v>
      </c>
      <c r="B16" s="33" t="n">
        <f aca="false">B14-B15</f>
        <v>0.110545344</v>
      </c>
      <c r="C16" s="33" t="n">
        <f aca="false">C14-C15</f>
        <v>0.1271271456</v>
      </c>
      <c r="D16" s="33" t="n">
        <f aca="false">D14-D15</f>
        <v>0.14619621744</v>
      </c>
      <c r="E16" s="33" t="n">
        <f aca="false">E14-E15</f>
        <v>0.168125650056</v>
      </c>
      <c r="F16" s="33" t="n">
        <f aca="false">F14-F15</f>
        <v>0.1933444975644</v>
      </c>
      <c r="G16" s="33" t="n">
        <f aca="false">G14-G15</f>
        <v>0.22234617219906</v>
      </c>
      <c r="H16" s="33" t="n">
        <f aca="false">H14-H15</f>
        <v>0.255698098028919</v>
      </c>
      <c r="I16" s="33" t="n">
        <f aca="false">I14-I15</f>
        <v>0.294052812733257</v>
      </c>
      <c r="J16" s="33" t="n">
        <f aca="false">J14-J15</f>
        <v>0.338160734643245</v>
      </c>
      <c r="K16" s="33" t="n">
        <f aca="false">K14-K15</f>
        <v>0.388884844839732</v>
      </c>
      <c r="L16" s="33" t="n">
        <f aca="false">L14-L15</f>
        <v>0.447217571565692</v>
      </c>
      <c r="M16" s="33" t="n">
        <f aca="false">M14-M15</f>
        <v>0.514300207300545</v>
      </c>
      <c r="N16" s="33" t="n">
        <f aca="false">N14-N15</f>
        <v>0.591445238395627</v>
      </c>
      <c r="O16" s="33" t="n">
        <f aca="false">O14-O15</f>
        <v>0.680162024154971</v>
      </c>
      <c r="P16" s="33" t="n">
        <f aca="false">P14-P15</f>
        <v>0.782186327778217</v>
      </c>
      <c r="Q16" s="33" t="n">
        <f aca="false">Q14-Q15</f>
        <v>0.899514276944949</v>
      </c>
      <c r="R16" s="33" t="n">
        <f aca="false">R14-R15</f>
        <v>1.03444141848669</v>
      </c>
      <c r="S16" s="33" t="n">
        <f aca="false">S14-S15</f>
        <v>1.1896076312597</v>
      </c>
      <c r="T16" s="33" t="n">
        <f aca="false">T14-T15</f>
        <v>1.36804877594865</v>
      </c>
      <c r="U16" s="33" t="n">
        <f aca="false">U14-U15</f>
        <v>1.57325609234095</v>
      </c>
      <c r="V16" s="33" t="n">
        <f aca="false">V14-V15</f>
        <v>1.80924450619209</v>
      </c>
      <c r="W16" s="33" t="n">
        <f aca="false">W14-W15</f>
        <v>2.0806311821209</v>
      </c>
      <c r="X16" s="33" t="n">
        <f aca="false">X14-X15</f>
        <v>2.39272585943904</v>
      </c>
      <c r="Y16" s="33" t="n">
        <f aca="false">Y14-Y15</f>
        <v>2.75163473835489</v>
      </c>
    </row>
    <row r="17" customFormat="false" ht="15" hidden="false" customHeight="false" outlineLevel="0" collapsed="false">
      <c r="A17" s="4" t="s">
        <v>328</v>
      </c>
      <c r="B17" s="33" t="n">
        <f aca="false">B12*B13/1000000</f>
        <v>0.153690596562184</v>
      </c>
      <c r="C17" s="33" t="n">
        <f aca="false">C12*C13/1000000</f>
        <v>0.171441860465116</v>
      </c>
      <c r="D17" s="33" t="n">
        <f aca="false">D12*D13/1000000</f>
        <v>0.191243395348837</v>
      </c>
      <c r="E17" s="33" t="n">
        <f aca="false">E12*E13/1000000</f>
        <v>0.213332007511628</v>
      </c>
      <c r="F17" s="33" t="n">
        <f aca="false">F12*F13/1000000</f>
        <v>0.237971854379221</v>
      </c>
      <c r="G17" s="33" t="n">
        <f aca="false">G12*G13/1000000</f>
        <v>0.265457603560021</v>
      </c>
      <c r="H17" s="33" t="n">
        <f aca="false">H12*H13/1000000</f>
        <v>0.296117956771203</v>
      </c>
      <c r="I17" s="33" t="n">
        <f aca="false">I12*I13/1000000</f>
        <v>0.330319580778277</v>
      </c>
      <c r="J17" s="33" t="n">
        <f aca="false">J12*J13/1000000</f>
        <v>0.368471492358168</v>
      </c>
      <c r="K17" s="33" t="n">
        <f aca="false">K12*K13/1000000</f>
        <v>0.411029949725537</v>
      </c>
      <c r="L17" s="33" t="n">
        <f aca="false">L12*L13/1000000</f>
        <v>0.458503908918836</v>
      </c>
      <c r="M17" s="33" t="n">
        <f aca="false">M12*M13/1000000</f>
        <v>0.511461110398961</v>
      </c>
      <c r="N17" s="33" t="n">
        <f aca="false">N12*N13/1000000</f>
        <v>0.570534868650041</v>
      </c>
      <c r="O17" s="33" t="n">
        <f aca="false">O12*O13/1000000</f>
        <v>0.636431645979121</v>
      </c>
      <c r="P17" s="33" t="n">
        <f aca="false">P12*P13/1000000</f>
        <v>0.709939501089709</v>
      </c>
      <c r="Q17" s="33" t="n">
        <f aca="false">Q12*Q13/1000000</f>
        <v>0.791937513465571</v>
      </c>
      <c r="R17" s="33" t="n">
        <f aca="false">R12*R13/1000000</f>
        <v>0.883406296270844</v>
      </c>
      <c r="S17" s="33" t="n">
        <f aca="false">S12*S13/1000000</f>
        <v>0.985439723490127</v>
      </c>
      <c r="T17" s="33" t="n">
        <f aca="false">T12*T13/1000000</f>
        <v>1.09925801155324</v>
      </c>
      <c r="U17" s="33" t="n">
        <f aca="false">U12*U13/1000000</f>
        <v>1.22622231188764</v>
      </c>
      <c r="V17" s="33" t="n">
        <f aca="false">V12*V13/1000000</f>
        <v>1.36785098891066</v>
      </c>
      <c r="W17" s="33" t="n">
        <f aca="false">W12*W13/1000000</f>
        <v>1.52583777812984</v>
      </c>
      <c r="X17" s="33" t="n">
        <f aca="false">X12*X13/1000000</f>
        <v>1.70207204150383</v>
      </c>
      <c r="Y17" s="33" t="n">
        <f aca="false">Y12*Y13/1000000</f>
        <v>1.89866136229753</v>
      </c>
    </row>
    <row r="18" customFormat="false" ht="15" hidden="false" customHeight="false" outlineLevel="0" collapsed="false">
      <c r="A18" s="13" t="s">
        <v>329</v>
      </c>
      <c r="B18" s="33" t="n">
        <f aca="false">B16-B17</f>
        <v>-0.043145252562184</v>
      </c>
      <c r="C18" s="33" t="n">
        <f aca="false">C16-C17</f>
        <v>-0.0443147148651163</v>
      </c>
      <c r="D18" s="33" t="n">
        <f aca="false">D16-D17</f>
        <v>-0.0450471779088372</v>
      </c>
      <c r="E18" s="33" t="n">
        <f aca="false">E16-E17</f>
        <v>-0.0452063574556279</v>
      </c>
      <c r="F18" s="33" t="n">
        <f aca="false">F16-F17</f>
        <v>-0.0446273568148209</v>
      </c>
      <c r="G18" s="33" t="n">
        <f aca="false">G16-G17</f>
        <v>-0.0431114313609609</v>
      </c>
      <c r="H18" s="33" t="n">
        <f aca="false">H16-H17</f>
        <v>-0.0404198587422844</v>
      </c>
      <c r="I18" s="33" t="n">
        <f aca="false">I16-I17</f>
        <v>-0.0362667680450204</v>
      </c>
      <c r="J18" s="33" t="n">
        <f aca="false">J16-J17</f>
        <v>-0.0303107577149229</v>
      </c>
      <c r="K18" s="33" t="n">
        <f aca="false">K16-K17</f>
        <v>-0.0221451048858046</v>
      </c>
      <c r="L18" s="33" t="n">
        <f aca="false">L16-L17</f>
        <v>-0.0112863373531442</v>
      </c>
      <c r="M18" s="33" t="n">
        <f aca="false">M16-M17</f>
        <v>0.0028390969015839</v>
      </c>
      <c r="N18" s="33" t="n">
        <f aca="false">N16-N17</f>
        <v>0.0209103697455858</v>
      </c>
      <c r="O18" s="33" t="n">
        <f aca="false">O16-O17</f>
        <v>0.04373037817585</v>
      </c>
      <c r="P18" s="33" t="n">
        <f aca="false">P16-P17</f>
        <v>0.0722468266885075</v>
      </c>
      <c r="Q18" s="33" t="n">
        <f aca="false">Q16-Q17</f>
        <v>0.107576763479379</v>
      </c>
      <c r="R18" s="33" t="n">
        <f aca="false">R16-R17</f>
        <v>0.151035122215847</v>
      </c>
      <c r="S18" s="33" t="n">
        <f aca="false">S16-S17</f>
        <v>0.204167907769568</v>
      </c>
      <c r="T18" s="33" t="n">
        <f aca="false">T16-T17</f>
        <v>0.268790764395413</v>
      </c>
      <c r="U18" s="33" t="n">
        <f aca="false">U16-U17</f>
        <v>0.347033780453311</v>
      </c>
      <c r="V18" s="33" t="n">
        <f aca="false">V16-V17</f>
        <v>0.441393517281432</v>
      </c>
      <c r="W18" s="33" t="n">
        <f aca="false">W16-W17</f>
        <v>0.554793403991065</v>
      </c>
      <c r="X18" s="33" t="n">
        <f aca="false">X16-X17</f>
        <v>0.690653817935203</v>
      </c>
      <c r="Y18" s="33" t="n">
        <f aca="false">Y16-Y17</f>
        <v>0.852973376057366</v>
      </c>
    </row>
    <row r="19" customFormat="false" ht="15" hidden="false" customHeight="false" outlineLevel="0" collapsed="false">
      <c r="A19" s="4" t="s">
        <v>305</v>
      </c>
      <c r="B19" s="48" t="n">
        <f aca="false">IF(B16=0,0,B18/B16)</f>
        <v>-0.390294615774899</v>
      </c>
      <c r="C19" s="48" t="n">
        <f aca="false">IF(C16=0,0,C18/C16)</f>
        <v>-0.348585777301652</v>
      </c>
      <c r="D19" s="48" t="n">
        <f aca="false">IF(D16=0,0,D18/D16)</f>
        <v>-0.308128203982602</v>
      </c>
      <c r="E19" s="48" t="n">
        <f aca="false">IF(E16=0,0,E18/E16)</f>
        <v>-0.268884357863124</v>
      </c>
      <c r="F19" s="48" t="n">
        <f aca="false">IF(F16=0,0,F18/F16)</f>
        <v>-0.230817827127231</v>
      </c>
      <c r="G19" s="48" t="n">
        <f aca="false">IF(G16=0,0,G18/G16)</f>
        <v>-0.193893292313414</v>
      </c>
      <c r="H19" s="48" t="n">
        <f aca="false">IF(H16=0,0,H18/H16)</f>
        <v>-0.158076493544011</v>
      </c>
      <c r="I19" s="48" t="n">
        <f aca="false">IF(I16=0,0,I18/I16)</f>
        <v>-0.123334198737691</v>
      </c>
      <c r="J19" s="48" t="n">
        <f aca="false">IF(J16=0,0,J18/J16)</f>
        <v>-0.08963417277556</v>
      </c>
      <c r="K19" s="48" t="n">
        <f aca="false">IF(K16=0,0,K18/K16)</f>
        <v>-0.0569451475922933</v>
      </c>
      <c r="L19" s="48" t="n">
        <f aca="false">IF(L16=0,0,L18/L16)</f>
        <v>-0.0252367931645242</v>
      </c>
      <c r="M19" s="48" t="n">
        <f aca="false">IF(M16=0,0,M18/M16)</f>
        <v>0.00552031063041124</v>
      </c>
      <c r="N19" s="48" t="n">
        <f aca="false">IF(N16=0,0,N18/N16)</f>
        <v>0.0353547013114991</v>
      </c>
      <c r="O19" s="48" t="n">
        <f aca="false">IF(O16=0,0,O18/O16)</f>
        <v>0.0642940602721541</v>
      </c>
      <c r="P19" s="48" t="n">
        <f aca="false">IF(P16=0,0,P18/P16)</f>
        <v>0.0923652384639898</v>
      </c>
      <c r="Q19" s="48" t="n">
        <f aca="false">IF(Q16=0,0,Q18/Q16)</f>
        <v>0.11959428131007</v>
      </c>
      <c r="R19" s="48" t="n">
        <f aca="false">IF(R16=0,0,R18/R16)</f>
        <v>0.146006452870768</v>
      </c>
      <c r="S19" s="48" t="n">
        <f aca="false">IF(S16=0,0,S18/S16)</f>
        <v>0.171626259284644</v>
      </c>
      <c r="T19" s="48" t="n">
        <f aca="false">IF(T16=0,0,T18/T16)</f>
        <v>0.196477471506105</v>
      </c>
      <c r="U19" s="48" t="n">
        <f aca="false">IF(U16=0,0,U18/U16)</f>
        <v>0.220583147360922</v>
      </c>
      <c r="V19" s="48" t="n">
        <f aca="false">IF(V16=0,0,V18/V16)</f>
        <v>0.243965652940095</v>
      </c>
      <c r="W19" s="48" t="n">
        <f aca="false">IF(W16=0,0,W18/W16)</f>
        <v>0.266646683351892</v>
      </c>
      <c r="X19" s="48" t="n">
        <f aca="false">IF(X16=0,0,X18/X16)</f>
        <v>0.288647282851335</v>
      </c>
      <c r="Y19" s="48" t="n">
        <f aca="false">IF(Y16=0,0,Y18/Y16)</f>
        <v>0.309987864365795</v>
      </c>
    </row>
    <row r="20" customFormat="false" ht="15" hidden="false" customHeight="false" outlineLevel="0" collapsed="false">
      <c r="A20" s="13" t="s">
        <v>330</v>
      </c>
      <c r="B20" s="33" t="n">
        <f aca="false">B6+B7+B8+B9-B18</f>
        <v>1.44823883795387</v>
      </c>
      <c r="C20" s="33" t="n">
        <f aca="false">C6+C7+C8+C9-C18</f>
        <v>1.46901940936172</v>
      </c>
      <c r="D20" s="33" t="n">
        <f aca="false">D6+D7+D8+D9-D18</f>
        <v>1.46957673157054</v>
      </c>
      <c r="E20" s="33" t="n">
        <f aca="false">E6+E7+E8+E9-E18</f>
        <v>1.46956602450748</v>
      </c>
      <c r="F20" s="33" t="n">
        <f aca="false">F6+F7+F8+F9-F18</f>
        <v>1.46882223385512</v>
      </c>
      <c r="G20" s="33" t="n">
        <f aca="false">G6+G7+G8+G9-G18</f>
        <v>1.46714646209005</v>
      </c>
      <c r="H20" s="33" t="n">
        <f aca="false">H6+H7+H8+H9-H18</f>
        <v>1.4642998385495</v>
      </c>
      <c r="I20" s="33" t="n">
        <f aca="false">I6+I7+I8+I9-I18</f>
        <v>1.45999634845802</v>
      </c>
      <c r="J20" s="33" t="n">
        <f aca="false">J6+J7+J8+J9-J18</f>
        <v>1.45389445071554</v>
      </c>
      <c r="K20" s="33" t="n">
        <f aca="false">K6+K7+K8+K9-K18</f>
        <v>1.4455872870964</v>
      </c>
      <c r="L20" s="33" t="n">
        <f aca="false">L6+L7+L8+L9-L18</f>
        <v>1.43459125409742</v>
      </c>
      <c r="M20" s="33" t="n">
        <f aca="false">M6+M7+M8+M9-M18</f>
        <v>1.42033267234036</v>
      </c>
      <c r="N20" s="33" t="n">
        <f aca="false">N6+N7+N8+N9-N18</f>
        <v>1.4021322464191</v>
      </c>
      <c r="O20" s="33" t="n">
        <f aca="false">O6+O7+O8+O9-O18</f>
        <v>1.3791869595039</v>
      </c>
      <c r="P20" s="33" t="n">
        <f aca="false">P6+P7+P8+P9-P18</f>
        <v>1.35054899086085</v>
      </c>
      <c r="Q20" s="33" t="n">
        <f aca="false">Q6+Q7+Q8+Q9-Q18</f>
        <v>1.3151011795435</v>
      </c>
      <c r="R20" s="33" t="n">
        <f aca="false">R6+R7+R8+R9-R18</f>
        <v>1.27152848251634</v>
      </c>
      <c r="S20" s="33" t="n">
        <f aca="false">S6+S7+S8+S9-S18</f>
        <v>1.21828478882066</v>
      </c>
      <c r="T20" s="33" t="n">
        <f aca="false">T6+T7+T8+T9-T18</f>
        <v>1.1535543512971</v>
      </c>
      <c r="U20" s="33" t="n">
        <f aca="false">U6+U7+U8+U9-U18</f>
        <v>1.07520698176843</v>
      </c>
      <c r="V20" s="33" t="n">
        <f aca="false">V6+V7+V8+V9-V18</f>
        <v>0.980746022073658</v>
      </c>
      <c r="W20" s="33" t="n">
        <f aca="false">W6+W7+W8+W9-W18</f>
        <v>0.867247949183372</v>
      </c>
      <c r="X20" s="33" t="n">
        <f aca="false">X6+X7+X8+X9-X18</f>
        <v>0.731292294644</v>
      </c>
      <c r="Y20" s="33" t="n">
        <f aca="false">Y6+Y7+Y8+Y9-Y18</f>
        <v>0.568880353144461</v>
      </c>
    </row>
    <row r="21" customFormat="false" ht="15" hidden="false" customHeight="false" outlineLevel="0" collapsed="false">
      <c r="A21" s="4" t="s">
        <v>331</v>
      </c>
      <c r="B21" s="33" t="n">
        <f aca="false">B20</f>
        <v>1.44823883795387</v>
      </c>
      <c r="C21" s="33" t="n">
        <f aca="false">B21+C20</f>
        <v>2.9172582473156</v>
      </c>
      <c r="D21" s="33" t="n">
        <f aca="false">C21+D20</f>
        <v>4.38683497888614</v>
      </c>
      <c r="E21" s="33" t="n">
        <f aca="false">D21+E20</f>
        <v>5.85640100339362</v>
      </c>
      <c r="F21" s="33" t="n">
        <f aca="false">E21+F20</f>
        <v>7.32522323724874</v>
      </c>
      <c r="G21" s="33" t="n">
        <f aca="false">F21+G20</f>
        <v>8.7923696993388</v>
      </c>
      <c r="H21" s="33" t="n">
        <f aca="false">G21+H20</f>
        <v>10.2566695378883</v>
      </c>
      <c r="I21" s="33" t="n">
        <f aca="false">H21+I20</f>
        <v>11.7166658863463</v>
      </c>
      <c r="J21" s="33" t="n">
        <f aca="false">I21+J20</f>
        <v>13.1705603370619</v>
      </c>
      <c r="K21" s="33" t="n">
        <f aca="false">J21+K20</f>
        <v>14.6161476241583</v>
      </c>
      <c r="L21" s="33" t="n">
        <f aca="false">K21+L20</f>
        <v>16.0507388782557</v>
      </c>
      <c r="M21" s="33" t="n">
        <f aca="false">L21+M20</f>
        <v>17.471071550596</v>
      </c>
      <c r="N21" s="33" t="n">
        <f aca="false">M21+N20</f>
        <v>18.8732037970151</v>
      </c>
      <c r="O21" s="33" t="n">
        <f aca="false">N21+O20</f>
        <v>20.252390756519</v>
      </c>
      <c r="P21" s="33" t="n">
        <f aca="false">O21+P20</f>
        <v>21.6029397473799</v>
      </c>
      <c r="Q21" s="33" t="n">
        <f aca="false">P21+Q20</f>
        <v>22.9180409269234</v>
      </c>
      <c r="R21" s="33" t="n">
        <f aca="false">Q21+R20</f>
        <v>24.1895694094397</v>
      </c>
      <c r="S21" s="33" t="n">
        <f aca="false">R21+S20</f>
        <v>25.4078541982604</v>
      </c>
      <c r="T21" s="33" t="n">
        <f aca="false">S21+T20</f>
        <v>26.5614085495575</v>
      </c>
      <c r="U21" s="33" t="n">
        <f aca="false">T21+U20</f>
        <v>27.6366155313259</v>
      </c>
      <c r="V21" s="33" t="n">
        <f aca="false">U21+V20</f>
        <v>28.6173615533996</v>
      </c>
      <c r="W21" s="33" t="n">
        <f aca="false">V21+W20</f>
        <v>29.4846095025829</v>
      </c>
      <c r="X21" s="33" t="n">
        <f aca="false">W21+X20</f>
        <v>30.2159017972269</v>
      </c>
      <c r="Y21" s="33" t="n">
        <f aca="false">X21+Y20</f>
        <v>30.7847821503714</v>
      </c>
    </row>
    <row r="22" customFormat="false" ht="15" hidden="false" customHeight="false" outlineLevel="0" collapsed="false">
      <c r="A22" s="13" t="s">
        <v>332</v>
      </c>
      <c r="B22" s="33" t="n">
        <f aca="false">Assumptions!$B$32-B21</f>
        <v>28.5517611620461</v>
      </c>
      <c r="C22" s="33" t="n">
        <f aca="false">Assumptions!$B$32-C21</f>
        <v>27.0827417526844</v>
      </c>
      <c r="D22" s="33" t="n">
        <f aca="false">Assumptions!$B$32-D21</f>
        <v>25.6131650211139</v>
      </c>
      <c r="E22" s="33" t="n">
        <f aca="false">Assumptions!$B$32-E21</f>
        <v>24.1435989966064</v>
      </c>
      <c r="F22" s="33" t="n">
        <f aca="false">Assumptions!$B$32-F21</f>
        <v>22.6747767627513</v>
      </c>
      <c r="G22" s="33" t="n">
        <f aca="false">Assumptions!$B$32-G21</f>
        <v>21.2076303006612</v>
      </c>
      <c r="H22" s="33" t="n">
        <f aca="false">Assumptions!$B$32-H21</f>
        <v>19.7433304621117</v>
      </c>
      <c r="I22" s="33" t="n">
        <f aca="false">Assumptions!$B$32-I21</f>
        <v>18.2833341136537</v>
      </c>
      <c r="J22" s="33" t="n">
        <f aca="false">Assumptions!$B$32-J21</f>
        <v>16.8294396629381</v>
      </c>
      <c r="K22" s="33" t="n">
        <f aca="false">Assumptions!$B$32-K21</f>
        <v>15.3838523758417</v>
      </c>
      <c r="L22" s="33" t="n">
        <f aca="false">Assumptions!$B$32-L21</f>
        <v>13.9492611217443</v>
      </c>
      <c r="M22" s="33" t="n">
        <f aca="false">Assumptions!$B$32-M21</f>
        <v>12.528928449404</v>
      </c>
      <c r="N22" s="33" t="n">
        <f aca="false">Assumptions!$B$32-N21</f>
        <v>11.1267962029849</v>
      </c>
      <c r="O22" s="33" t="n">
        <f aca="false">Assumptions!$B$32-O21</f>
        <v>9.74760924348096</v>
      </c>
      <c r="P22" s="33" t="n">
        <f aca="false">Assumptions!$B$32-P21</f>
        <v>8.39706025262011</v>
      </c>
      <c r="Q22" s="33" t="n">
        <f aca="false">Assumptions!$B$32-Q21</f>
        <v>7.08195907307661</v>
      </c>
      <c r="R22" s="33" t="n">
        <f aca="false">Assumptions!$B$32-R21</f>
        <v>5.81043059056027</v>
      </c>
      <c r="S22" s="33" t="n">
        <f aca="false">Assumptions!$B$32-S21</f>
        <v>4.59214580173962</v>
      </c>
      <c r="T22" s="33" t="n">
        <f aca="false">Assumptions!$B$32-T21</f>
        <v>3.43859145044252</v>
      </c>
      <c r="U22" s="33" t="n">
        <f aca="false">Assumptions!$B$32-U21</f>
        <v>2.36338446867408</v>
      </c>
      <c r="V22" s="33" t="n">
        <f aca="false">Assumptions!$B$32-V21</f>
        <v>1.38263844660043</v>
      </c>
      <c r="W22" s="33" t="n">
        <f aca="false">Assumptions!$B$32-W21</f>
        <v>0.515390497417055</v>
      </c>
      <c r="X22" s="33" t="n">
        <f aca="false">Assumptions!$B$32-X21</f>
        <v>-0.215901797226945</v>
      </c>
      <c r="Y22" s="33" t="n">
        <f aca="false">Assumptions!$B$32-Y21</f>
        <v>-0.784782150371406</v>
      </c>
    </row>
    <row r="23" customFormat="false" ht="15" hidden="false" customHeight="false" outlineLevel="0" collapsed="false">
      <c r="A23" s="4" t="s">
        <v>333</v>
      </c>
      <c r="B23" s="55" t="n">
        <f aca="false">IF(B18&gt;0,1,0)</f>
        <v>0</v>
      </c>
      <c r="C23" s="55" t="n">
        <f aca="false">IF(C18&gt;0,1,0)</f>
        <v>0</v>
      </c>
      <c r="D23" s="55" t="n">
        <f aca="false">IF(D18&gt;0,1,0)</f>
        <v>0</v>
      </c>
      <c r="E23" s="55" t="n">
        <f aca="false">IF(E18&gt;0,1,0)</f>
        <v>0</v>
      </c>
      <c r="F23" s="55" t="n">
        <f aca="false">IF(F18&gt;0,1,0)</f>
        <v>0</v>
      </c>
      <c r="G23" s="55" t="n">
        <f aca="false">IF(G18&gt;0,1,0)</f>
        <v>0</v>
      </c>
      <c r="H23" s="55" t="n">
        <f aca="false">IF(H18&gt;0,1,0)</f>
        <v>0</v>
      </c>
      <c r="I23" s="55" t="n">
        <f aca="false">IF(I18&gt;0,1,0)</f>
        <v>0</v>
      </c>
      <c r="J23" s="55" t="n">
        <f aca="false">IF(J18&gt;0,1,0)</f>
        <v>0</v>
      </c>
      <c r="K23" s="55" t="n">
        <f aca="false">IF(K18&gt;0,1,0)</f>
        <v>0</v>
      </c>
      <c r="L23" s="55" t="n">
        <f aca="false">IF(L18&gt;0,1,0)</f>
        <v>0</v>
      </c>
      <c r="M23" s="55" t="n">
        <f aca="false">IF(M18&gt;0,1,0)</f>
        <v>1</v>
      </c>
      <c r="N23" s="55" t="n">
        <f aca="false">IF(N18&gt;0,1,0)</f>
        <v>1</v>
      </c>
      <c r="O23" s="55" t="n">
        <f aca="false">IF(O18&gt;0,1,0)</f>
        <v>1</v>
      </c>
      <c r="P23" s="55" t="n">
        <f aca="false">IF(P18&gt;0,1,0)</f>
        <v>1</v>
      </c>
      <c r="Q23" s="55" t="n">
        <f aca="false">IF(Q18&gt;0,1,0)</f>
        <v>1</v>
      </c>
      <c r="R23" s="55" t="n">
        <f aca="false">IF(R18&gt;0,1,0)</f>
        <v>1</v>
      </c>
      <c r="S23" s="55" t="n">
        <f aca="false">IF(S18&gt;0,1,0)</f>
        <v>1</v>
      </c>
      <c r="T23" s="55" t="n">
        <f aca="false">IF(T18&gt;0,1,0)</f>
        <v>1</v>
      </c>
      <c r="U23" s="55" t="n">
        <f aca="false">IF(U18&gt;0,1,0)</f>
        <v>1</v>
      </c>
      <c r="V23" s="55" t="n">
        <f aca="false">IF(V18&gt;0,1,0)</f>
        <v>1</v>
      </c>
      <c r="W23" s="55" t="n">
        <f aca="false">IF(W18&gt;0,1,0)</f>
        <v>1</v>
      </c>
      <c r="X23" s="55" t="n">
        <f aca="false">IF(X18&gt;0,1,0)</f>
        <v>1</v>
      </c>
      <c r="Y23" s="55" t="n">
        <f aca="false">IF(Y18&gt;0,1,0)</f>
        <v>1</v>
      </c>
    </row>
    <row r="24" customFormat="false" ht="15" hidden="false" customHeight="false" outlineLevel="0" collapsed="false">
      <c r="A24" s="4" t="s">
        <v>334</v>
      </c>
      <c r="B24" s="55" t="n">
        <f aca="false">IF(Assumptions!$B$31-B21&gt;0,1,0)</f>
        <v>1</v>
      </c>
      <c r="C24" s="55" t="n">
        <f aca="false">IF(AND(B24=1,Assumptions!$B$31-C21&gt;0),1,0)</f>
        <v>1</v>
      </c>
      <c r="D24" s="55" t="n">
        <f aca="false">IF(AND(C24=1,Assumptions!$B$31-D21&gt;0),1,0)</f>
        <v>1</v>
      </c>
      <c r="E24" s="55" t="n">
        <f aca="false">IF(AND(D24=1,Assumptions!$B$31-E21&gt;0),1,0)</f>
        <v>1</v>
      </c>
      <c r="F24" s="55" t="n">
        <f aca="false">IF(AND(E24=1,Assumptions!$B$31-F21&gt;0),1,0)</f>
        <v>1</v>
      </c>
      <c r="G24" s="55" t="n">
        <f aca="false">IF(AND(F24=1,Assumptions!$B$31-G21&gt;0),1,0)</f>
        <v>1</v>
      </c>
      <c r="H24" s="55" t="n">
        <f aca="false">IF(AND(G24=1,Assumptions!$B$31-H21&gt;0),1,0)</f>
        <v>1</v>
      </c>
      <c r="I24" s="55" t="n">
        <f aca="false">IF(AND(H24=1,Assumptions!$B$31-I21&gt;0),1,0)</f>
        <v>1</v>
      </c>
      <c r="J24" s="55" t="n">
        <f aca="false">IF(AND(I24=1,Assumptions!$B$31-J21&gt;0),1,0)</f>
        <v>1</v>
      </c>
      <c r="K24" s="55" t="n">
        <f aca="false">IF(AND(J24=1,Assumptions!$B$31-K21&gt;0),1,0)</f>
        <v>1</v>
      </c>
      <c r="L24" s="55" t="n">
        <f aca="false">IF(AND(K24=1,Assumptions!$B$31-L21&gt;0),1,0)</f>
        <v>1</v>
      </c>
      <c r="M24" s="55" t="n">
        <f aca="false">IF(AND(L24=1,Assumptions!$B$31-M21&gt;0),1,0)</f>
        <v>1</v>
      </c>
      <c r="N24" s="55" t="n">
        <f aca="false">IF(AND(M24=1,Assumptions!$B$31-N21&gt;0),1,0)</f>
        <v>1</v>
      </c>
      <c r="O24" s="55" t="n">
        <f aca="false">IF(AND(N24=1,Assumptions!$B$31-O21&gt;0),1,0)</f>
        <v>0</v>
      </c>
      <c r="P24" s="55" t="n">
        <f aca="false">IF(AND(O24=1,Assumptions!$B$31-P21&gt;0),1,0)</f>
        <v>0</v>
      </c>
      <c r="Q24" s="55" t="n">
        <f aca="false">IF(AND(P24=1,Assumptions!$B$31-Q21&gt;0),1,0)</f>
        <v>0</v>
      </c>
      <c r="R24" s="55" t="n">
        <f aca="false">IF(AND(Q24=1,Assumptions!$B$31-R21&gt;0),1,0)</f>
        <v>0</v>
      </c>
      <c r="S24" s="55" t="n">
        <f aca="false">IF(AND(R24=1,Assumptions!$B$31-S21&gt;0),1,0)</f>
        <v>0</v>
      </c>
      <c r="T24" s="55" t="n">
        <f aca="false">IF(AND(S24=1,Assumptions!$B$31-T21&gt;0),1,0)</f>
        <v>0</v>
      </c>
      <c r="U24" s="55" t="n">
        <f aca="false">IF(AND(T24=1,Assumptions!$B$31-U21&gt;0),1,0)</f>
        <v>0</v>
      </c>
      <c r="V24" s="55" t="n">
        <f aca="false">IF(AND(U24=1,Assumptions!$B$31-V21&gt;0),1,0)</f>
        <v>0</v>
      </c>
      <c r="W24" s="55" t="n">
        <f aca="false">IF(AND(V24=1,Assumptions!$B$31-W21&gt;0),1,0)</f>
        <v>0</v>
      </c>
      <c r="X24" s="55" t="n">
        <f aca="false">IF(AND(W24=1,Assumptions!$B$31-X21&gt;0),1,0)</f>
        <v>0</v>
      </c>
      <c r="Y24" s="55" t="n">
        <f aca="false">IF(AND(X24=1,Assumptions!$B$31-Y21&gt;0),1,0)</f>
        <v>0</v>
      </c>
    </row>
    <row r="25" customFormat="false" ht="15" hidden="false" customHeight="false" outlineLevel="0" collapsed="false">
      <c r="A25" s="4" t="s">
        <v>335</v>
      </c>
      <c r="B25" s="55" t="n">
        <f aca="false">IF(Assumptions!$B$32-B21&gt;0,1,0)</f>
        <v>1</v>
      </c>
      <c r="C25" s="55" t="n">
        <f aca="false">IF(AND(B25=1,Assumptions!$B$32-C21&gt;0),1,0)</f>
        <v>1</v>
      </c>
      <c r="D25" s="55" t="n">
        <f aca="false">IF(AND(C25=1,Assumptions!$B$32-D21&gt;0),1,0)</f>
        <v>1</v>
      </c>
      <c r="E25" s="55" t="n">
        <f aca="false">IF(AND(D25=1,Assumptions!$B$32-E21&gt;0),1,0)</f>
        <v>1</v>
      </c>
      <c r="F25" s="55" t="n">
        <f aca="false">IF(AND(E25=1,Assumptions!$B$32-F21&gt;0),1,0)</f>
        <v>1</v>
      </c>
      <c r="G25" s="55" t="n">
        <f aca="false">IF(AND(F25=1,Assumptions!$B$32-G21&gt;0),1,0)</f>
        <v>1</v>
      </c>
      <c r="H25" s="55" t="n">
        <f aca="false">IF(AND(G25=1,Assumptions!$B$32-H21&gt;0),1,0)</f>
        <v>1</v>
      </c>
      <c r="I25" s="55" t="n">
        <f aca="false">IF(AND(H25=1,Assumptions!$B$32-I21&gt;0),1,0)</f>
        <v>1</v>
      </c>
      <c r="J25" s="55" t="n">
        <f aca="false">IF(AND(I25=1,Assumptions!$B$32-J21&gt;0),1,0)</f>
        <v>1</v>
      </c>
      <c r="K25" s="55" t="n">
        <f aca="false">IF(AND(J25=1,Assumptions!$B$32-K21&gt;0),1,0)</f>
        <v>1</v>
      </c>
      <c r="L25" s="55" t="n">
        <f aca="false">IF(AND(K25=1,Assumptions!$B$32-L21&gt;0),1,0)</f>
        <v>1</v>
      </c>
      <c r="M25" s="55" t="n">
        <f aca="false">IF(AND(L25=1,Assumptions!$B$32-M21&gt;0),1,0)</f>
        <v>1</v>
      </c>
      <c r="N25" s="55" t="n">
        <f aca="false">IF(AND(M25=1,Assumptions!$B$32-N21&gt;0),1,0)</f>
        <v>1</v>
      </c>
      <c r="O25" s="55" t="n">
        <f aca="false">IF(AND(N25=1,Assumptions!$B$32-O21&gt;0),1,0)</f>
        <v>1</v>
      </c>
      <c r="P25" s="55" t="n">
        <f aca="false">IF(AND(O25=1,Assumptions!$B$32-P21&gt;0),1,0)</f>
        <v>1</v>
      </c>
      <c r="Q25" s="55" t="n">
        <f aca="false">IF(AND(P25=1,Assumptions!$B$32-Q21&gt;0),1,0)</f>
        <v>1</v>
      </c>
      <c r="R25" s="55" t="n">
        <f aca="false">IF(AND(Q25=1,Assumptions!$B$32-R21&gt;0),1,0)</f>
        <v>1</v>
      </c>
      <c r="S25" s="55" t="n">
        <f aca="false">IF(AND(R25=1,Assumptions!$B$32-S21&gt;0),1,0)</f>
        <v>1</v>
      </c>
      <c r="T25" s="55" t="n">
        <f aca="false">IF(AND(S25=1,Assumptions!$B$32-T21&gt;0),1,0)</f>
        <v>1</v>
      </c>
      <c r="U25" s="55" t="n">
        <f aca="false">IF(AND(T25=1,Assumptions!$B$32-U21&gt;0),1,0)</f>
        <v>1</v>
      </c>
      <c r="V25" s="55" t="n">
        <f aca="false">IF(AND(U25=1,Assumptions!$B$32-V21&gt;0),1,0)</f>
        <v>1</v>
      </c>
      <c r="W25" s="55" t="n">
        <f aca="false">IF(AND(V25=1,Assumptions!$B$32-W21&gt;0),1,0)</f>
        <v>1</v>
      </c>
      <c r="X25" s="55" t="n">
        <f aca="false">IF(AND(W25=1,Assumptions!$B$32-X21&gt;0),1,0)</f>
        <v>0</v>
      </c>
      <c r="Y25" s="55" t="n">
        <f aca="false">IF(AND(X25=1,Assumptions!$B$32-Y21&gt;0),1,0)</f>
        <v>0</v>
      </c>
    </row>
    <row r="26" customFormat="false" ht="15" hidden="false" customHeight="false" outlineLevel="0" collapsed="false">
      <c r="A26" s="4" t="s">
        <v>336</v>
      </c>
      <c r="B26" s="55" t="n">
        <f aca="false">IF(Assumptions!$B$33-B21&gt;0,1,0)</f>
        <v>1</v>
      </c>
      <c r="C26" s="55" t="n">
        <f aca="false">IF(AND(B26=1,Assumptions!$B$33-C21&gt;0),1,0)</f>
        <v>1</v>
      </c>
      <c r="D26" s="55" t="n">
        <f aca="false">IF(AND(C26=1,Assumptions!$B$33-D21&gt;0),1,0)</f>
        <v>1</v>
      </c>
      <c r="E26" s="55" t="n">
        <f aca="false">IF(AND(D26=1,Assumptions!$B$33-E21&gt;0),1,0)</f>
        <v>1</v>
      </c>
      <c r="F26" s="55" t="n">
        <f aca="false">IF(AND(E26=1,Assumptions!$B$33-F21&gt;0),1,0)</f>
        <v>1</v>
      </c>
      <c r="G26" s="55" t="n">
        <f aca="false">IF(AND(F26=1,Assumptions!$B$33-G21&gt;0),1,0)</f>
        <v>1</v>
      </c>
      <c r="H26" s="55" t="n">
        <f aca="false">IF(AND(G26=1,Assumptions!$B$33-H21&gt;0),1,0)</f>
        <v>1</v>
      </c>
      <c r="I26" s="55" t="n">
        <f aca="false">IF(AND(H26=1,Assumptions!$B$33-I21&gt;0),1,0)</f>
        <v>1</v>
      </c>
      <c r="J26" s="55" t="n">
        <f aca="false">IF(AND(I26=1,Assumptions!$B$33-J21&gt;0),1,0)</f>
        <v>1</v>
      </c>
      <c r="K26" s="55" t="n">
        <f aca="false">IF(AND(J26=1,Assumptions!$B$33-K21&gt;0),1,0)</f>
        <v>1</v>
      </c>
      <c r="L26" s="55" t="n">
        <f aca="false">IF(AND(K26=1,Assumptions!$B$33-L21&gt;0),1,0)</f>
        <v>1</v>
      </c>
      <c r="M26" s="55" t="n">
        <f aca="false">IF(AND(L26=1,Assumptions!$B$33-M21&gt;0),1,0)</f>
        <v>1</v>
      </c>
      <c r="N26" s="55" t="n">
        <f aca="false">IF(AND(M26=1,Assumptions!$B$33-N21&gt;0),1,0)</f>
        <v>1</v>
      </c>
      <c r="O26" s="55" t="n">
        <f aca="false">IF(AND(N26=1,Assumptions!$B$33-O21&gt;0),1,0)</f>
        <v>1</v>
      </c>
      <c r="P26" s="55" t="n">
        <f aca="false">IF(AND(O26=1,Assumptions!$B$33-P21&gt;0),1,0)</f>
        <v>1</v>
      </c>
      <c r="Q26" s="55" t="n">
        <f aca="false">IF(AND(P26=1,Assumptions!$B$33-Q21&gt;0),1,0)</f>
        <v>1</v>
      </c>
      <c r="R26" s="55" t="n">
        <f aca="false">IF(AND(Q26=1,Assumptions!$B$33-R21&gt;0),1,0)</f>
        <v>1</v>
      </c>
      <c r="S26" s="55" t="n">
        <f aca="false">IF(AND(R26=1,Assumptions!$B$33-S21&gt;0),1,0)</f>
        <v>1</v>
      </c>
      <c r="T26" s="55" t="n">
        <f aca="false">IF(AND(S26=1,Assumptions!$B$33-T21&gt;0),1,0)</f>
        <v>1</v>
      </c>
      <c r="U26" s="55" t="n">
        <f aca="false">IF(AND(T26=1,Assumptions!$B$33-U21&gt;0),1,0)</f>
        <v>1</v>
      </c>
      <c r="V26" s="55" t="n">
        <f aca="false">IF(AND(U26=1,Assumptions!$B$33-V21&gt;0),1,0)</f>
        <v>1</v>
      </c>
      <c r="W26" s="55" t="n">
        <f aca="false">IF(AND(V26=1,Assumptions!$B$33-W21&gt;0),1,0)</f>
        <v>1</v>
      </c>
      <c r="X26" s="55" t="n">
        <f aca="false">IF(AND(W26=1,Assumptions!$B$33-X21&gt;0),1,0)</f>
        <v>1</v>
      </c>
      <c r="Y26" s="55" t="n">
        <f aca="false">IF(AND(X26=1,Assumptions!$B$33-Y21&gt;0),1,0)</f>
        <v>1</v>
      </c>
    </row>
    <row r="27" customFormat="false" ht="15" hidden="false" customHeight="false" outlineLevel="0" collapsed="false">
      <c r="A27" s="4" t="s">
        <v>337</v>
      </c>
      <c r="B27" s="33" t="n">
        <f aca="false">Hiring!$H$32/1000/12</f>
        <v>0.681875</v>
      </c>
      <c r="C27" s="33" t="n">
        <f aca="false">Hiring!$H$32/1000/12</f>
        <v>0.681875</v>
      </c>
      <c r="D27" s="33" t="n">
        <f aca="false">Hiring!$H$32/1000/12</f>
        <v>0.681875</v>
      </c>
      <c r="E27" s="33" t="n">
        <f aca="false">Hiring!$H$32/1000/12</f>
        <v>0.681875</v>
      </c>
      <c r="F27" s="33" t="n">
        <f aca="false">Hiring!$H$32/1000/12</f>
        <v>0.681875</v>
      </c>
      <c r="G27" s="33" t="n">
        <f aca="false">Hiring!$H$32/1000/12</f>
        <v>0.681875</v>
      </c>
      <c r="H27" s="33" t="n">
        <f aca="false">Hiring!$H$32/1000/12</f>
        <v>0.681875</v>
      </c>
      <c r="I27" s="33" t="n">
        <f aca="false">Hiring!$H$32/1000/12</f>
        <v>0.681875</v>
      </c>
      <c r="J27" s="33" t="n">
        <f aca="false">Hiring!$H$32/1000/12</f>
        <v>0.681875</v>
      </c>
      <c r="K27" s="33" t="n">
        <f aca="false">Hiring!$H$32/1000/12</f>
        <v>0.681875</v>
      </c>
      <c r="L27" s="33" t="n">
        <f aca="false">Hiring!$H$32/1000/12</f>
        <v>0.681875</v>
      </c>
      <c r="M27" s="33" t="n">
        <f aca="false">Hiring!$H$32/1000/12</f>
        <v>0.681875</v>
      </c>
      <c r="N27" s="33" t="n">
        <f aca="false">Hiring!$H$32/1000/12</f>
        <v>0.681875</v>
      </c>
      <c r="O27" s="33" t="n">
        <f aca="false">Hiring!$H$32/1000/12</f>
        <v>0.681875</v>
      </c>
      <c r="P27" s="33" t="n">
        <f aca="false">Hiring!$H$32/1000/12</f>
        <v>0.681875</v>
      </c>
      <c r="Q27" s="33" t="n">
        <f aca="false">Hiring!$H$32/1000/12</f>
        <v>0.681875</v>
      </c>
      <c r="R27" s="33" t="n">
        <f aca="false">Hiring!$H$32/1000/12</f>
        <v>0.681875</v>
      </c>
      <c r="S27" s="33" t="n">
        <f aca="false">Hiring!$H$32/1000/12</f>
        <v>0.681875</v>
      </c>
      <c r="T27" s="33" t="n">
        <f aca="false">Hiring!$H$32/1000/12</f>
        <v>0.681875</v>
      </c>
      <c r="U27" s="33" t="n">
        <f aca="false">Hiring!$H$32/1000/12</f>
        <v>0.681875</v>
      </c>
      <c r="V27" s="33" t="n">
        <f aca="false">Hiring!$H$32/1000/12</f>
        <v>0.681875</v>
      </c>
      <c r="W27" s="33" t="n">
        <f aca="false">Hiring!$H$32/1000/12</f>
        <v>0.681875</v>
      </c>
      <c r="X27" s="33" t="n">
        <f aca="false">Hiring!$H$32/1000/12</f>
        <v>0.681875</v>
      </c>
      <c r="Y27" s="33" t="n">
        <f aca="false">Hiring!$H$32/1000/12</f>
        <v>0.681875</v>
      </c>
    </row>
    <row r="28" customFormat="false" ht="15" hidden="false" customHeight="false" outlineLevel="0" collapsed="false">
      <c r="A28" s="4" t="s">
        <v>338</v>
      </c>
      <c r="B28" s="33" t="n">
        <f aca="false">B20-B6+B27</f>
        <v>1.44823883795387</v>
      </c>
      <c r="C28" s="33" t="n">
        <f aca="false">C20-C6+C27</f>
        <v>1.44922774269505</v>
      </c>
      <c r="D28" s="33" t="n">
        <f aca="false">D20-D6+D27</f>
        <v>1.44978506490388</v>
      </c>
      <c r="E28" s="33" t="n">
        <f aca="false">E20-E6+E27</f>
        <v>1.44977435784082</v>
      </c>
      <c r="F28" s="33" t="n">
        <f aca="false">F20-F6+F27</f>
        <v>1.44903056718846</v>
      </c>
      <c r="G28" s="33" t="n">
        <f aca="false">G20-G6+G27</f>
        <v>1.44735479542339</v>
      </c>
      <c r="H28" s="33" t="n">
        <f aca="false">H20-H6+H27</f>
        <v>1.44450817188284</v>
      </c>
      <c r="I28" s="33" t="n">
        <f aca="false">I20-I6+I27</f>
        <v>1.44020468179136</v>
      </c>
      <c r="J28" s="33" t="n">
        <f aca="false">J20-J6+J27</f>
        <v>1.43410278404887</v>
      </c>
      <c r="K28" s="33" t="n">
        <f aca="false">K20-K6+K27</f>
        <v>1.42579562042973</v>
      </c>
      <c r="L28" s="33" t="n">
        <f aca="false">L20-L6+L27</f>
        <v>1.41479958743075</v>
      </c>
      <c r="M28" s="33" t="n">
        <f aca="false">M20-M6+M27</f>
        <v>1.4005410056737</v>
      </c>
      <c r="N28" s="33" t="n">
        <f aca="false">N20-N6+N27</f>
        <v>1.38234057975244</v>
      </c>
      <c r="O28" s="33" t="n">
        <f aca="false">O20-O6+O27</f>
        <v>1.35939529283723</v>
      </c>
      <c r="P28" s="33" t="n">
        <f aca="false">P20-P6+P27</f>
        <v>1.33075732419418</v>
      </c>
      <c r="Q28" s="33" t="n">
        <f aca="false">Q20-Q6+Q27</f>
        <v>1.29530951287683</v>
      </c>
      <c r="R28" s="33" t="n">
        <f aca="false">R20-R6+R27</f>
        <v>1.25173681584968</v>
      </c>
      <c r="S28" s="33" t="n">
        <f aca="false">S20-S6+S27</f>
        <v>1.19849312215399</v>
      </c>
      <c r="T28" s="33" t="n">
        <f aca="false">T20-T6+T27</f>
        <v>1.13376268463044</v>
      </c>
      <c r="U28" s="33" t="n">
        <f aca="false">U20-U6+U27</f>
        <v>1.05541531510176</v>
      </c>
      <c r="V28" s="33" t="n">
        <f aca="false">V20-V6+V27</f>
        <v>0.960954355406991</v>
      </c>
      <c r="W28" s="33" t="n">
        <f aca="false">W20-W6+W27</f>
        <v>0.847456282516705</v>
      </c>
      <c r="X28" s="33" t="n">
        <f aca="false">X20-X6+X27</f>
        <v>0.711500627977333</v>
      </c>
      <c r="Y28" s="33" t="n">
        <f aca="false">Y20-Y6+Y27</f>
        <v>0.549088686477794</v>
      </c>
    </row>
    <row r="29" customFormat="false" ht="15" hidden="false" customHeight="false" outlineLevel="0" collapsed="false">
      <c r="A29" s="4" t="s">
        <v>339</v>
      </c>
      <c r="B29" s="33" t="n">
        <f aca="false">B28</f>
        <v>1.44823883795387</v>
      </c>
      <c r="C29" s="33" t="n">
        <f aca="false">B29+C28</f>
        <v>2.89746658064893</v>
      </c>
      <c r="D29" s="33" t="n">
        <f aca="false">C29+D28</f>
        <v>4.34725164555281</v>
      </c>
      <c r="E29" s="33" t="n">
        <f aca="false">D29+E28</f>
        <v>5.79702600339362</v>
      </c>
      <c r="F29" s="33" t="n">
        <f aca="false">E29+F28</f>
        <v>7.24605657058208</v>
      </c>
      <c r="G29" s="33" t="n">
        <f aca="false">F29+G28</f>
        <v>8.69341136600546</v>
      </c>
      <c r="H29" s="33" t="n">
        <f aca="false">G29+H28</f>
        <v>10.1379195378883</v>
      </c>
      <c r="I29" s="33" t="n">
        <f aca="false">H29+I28</f>
        <v>11.5781242196797</v>
      </c>
      <c r="J29" s="33" t="n">
        <f aca="false">I29+J28</f>
        <v>13.0122270037285</v>
      </c>
      <c r="K29" s="33" t="n">
        <f aca="false">J29+K28</f>
        <v>14.4380226241583</v>
      </c>
      <c r="L29" s="33" t="n">
        <f aca="false">K29+L28</f>
        <v>15.852822211589</v>
      </c>
      <c r="M29" s="33" t="n">
        <f aca="false">L29+M28</f>
        <v>17.2533632172627</v>
      </c>
      <c r="N29" s="33" t="n">
        <f aca="false">M29+N28</f>
        <v>18.6357037970151</v>
      </c>
      <c r="O29" s="33" t="n">
        <f aca="false">N29+O28</f>
        <v>19.9950990898524</v>
      </c>
      <c r="P29" s="33" t="n">
        <f aca="false">O29+P28</f>
        <v>21.3258564140466</v>
      </c>
      <c r="Q29" s="33" t="n">
        <f aca="false">P29+Q28</f>
        <v>22.6211659269234</v>
      </c>
      <c r="R29" s="33" t="n">
        <f aca="false">Q29+R28</f>
        <v>23.8729027427731</v>
      </c>
      <c r="S29" s="33" t="n">
        <f aca="false">R29+S28</f>
        <v>25.071395864927</v>
      </c>
      <c r="T29" s="33" t="n">
        <f aca="false">S29+T28</f>
        <v>26.2051585495575</v>
      </c>
      <c r="U29" s="33" t="n">
        <f aca="false">T29+U28</f>
        <v>27.2605738646592</v>
      </c>
      <c r="V29" s="33" t="n">
        <f aca="false">U29+V28</f>
        <v>28.2215282200662</v>
      </c>
      <c r="W29" s="33" t="n">
        <f aca="false">V29+W28</f>
        <v>29.0689845025829</v>
      </c>
      <c r="X29" s="33" t="n">
        <f aca="false">W29+X28</f>
        <v>29.7804851305603</v>
      </c>
      <c r="Y29" s="33" t="n">
        <f aca="false">X29+Y28</f>
        <v>30.3295738170381</v>
      </c>
    </row>
    <row r="30" customFormat="false" ht="15" hidden="false" customHeight="false" outlineLevel="0" collapsed="false">
      <c r="A30" s="4" t="s">
        <v>340</v>
      </c>
      <c r="B30" s="55" t="n">
        <f aca="false">IF(Assumptions!$B$32-B29&gt;0,1,0)</f>
        <v>1</v>
      </c>
      <c r="C30" s="55" t="n">
        <f aca="false">IF(AND(B30=1,Assumptions!$B$32-C29&gt;0),1,0)</f>
        <v>1</v>
      </c>
      <c r="D30" s="55" t="n">
        <f aca="false">IF(AND(C30=1,Assumptions!$B$32-D29&gt;0),1,0)</f>
        <v>1</v>
      </c>
      <c r="E30" s="55" t="n">
        <f aca="false">IF(AND(D30=1,Assumptions!$B$32-E29&gt;0),1,0)</f>
        <v>1</v>
      </c>
      <c r="F30" s="55" t="n">
        <f aca="false">IF(AND(E30=1,Assumptions!$B$32-F29&gt;0),1,0)</f>
        <v>1</v>
      </c>
      <c r="G30" s="55" t="n">
        <f aca="false">IF(AND(F30=1,Assumptions!$B$32-G29&gt;0),1,0)</f>
        <v>1</v>
      </c>
      <c r="H30" s="55" t="n">
        <f aca="false">IF(AND(G30=1,Assumptions!$B$32-H29&gt;0),1,0)</f>
        <v>1</v>
      </c>
      <c r="I30" s="55" t="n">
        <f aca="false">IF(AND(H30=1,Assumptions!$B$32-I29&gt;0),1,0)</f>
        <v>1</v>
      </c>
      <c r="J30" s="55" t="n">
        <f aca="false">IF(AND(I30=1,Assumptions!$B$32-J29&gt;0),1,0)</f>
        <v>1</v>
      </c>
      <c r="K30" s="55" t="n">
        <f aca="false">IF(AND(J30=1,Assumptions!$B$32-K29&gt;0),1,0)</f>
        <v>1</v>
      </c>
      <c r="L30" s="55" t="n">
        <f aca="false">IF(AND(K30=1,Assumptions!$B$32-L29&gt;0),1,0)</f>
        <v>1</v>
      </c>
      <c r="M30" s="55" t="n">
        <f aca="false">IF(AND(L30=1,Assumptions!$B$32-M29&gt;0),1,0)</f>
        <v>1</v>
      </c>
      <c r="N30" s="55" t="n">
        <f aca="false">IF(AND(M30=1,Assumptions!$B$32-N29&gt;0),1,0)</f>
        <v>1</v>
      </c>
      <c r="O30" s="55" t="n">
        <f aca="false">IF(AND(N30=1,Assumptions!$B$32-O29&gt;0),1,0)</f>
        <v>1</v>
      </c>
      <c r="P30" s="55" t="n">
        <f aca="false">IF(AND(O30=1,Assumptions!$B$32-P29&gt;0),1,0)</f>
        <v>1</v>
      </c>
      <c r="Q30" s="55" t="n">
        <f aca="false">IF(AND(P30=1,Assumptions!$B$32-Q29&gt;0),1,0)</f>
        <v>1</v>
      </c>
      <c r="R30" s="55" t="n">
        <f aca="false">IF(AND(Q30=1,Assumptions!$B$32-R29&gt;0),1,0)</f>
        <v>1</v>
      </c>
      <c r="S30" s="55" t="n">
        <f aca="false">IF(AND(R30=1,Assumptions!$B$32-S29&gt;0),1,0)</f>
        <v>1</v>
      </c>
      <c r="T30" s="55" t="n">
        <f aca="false">IF(AND(S30=1,Assumptions!$B$32-T29&gt;0),1,0)</f>
        <v>1</v>
      </c>
      <c r="U30" s="55" t="n">
        <f aca="false">IF(AND(T30=1,Assumptions!$B$32-U29&gt;0),1,0)</f>
        <v>1</v>
      </c>
      <c r="V30" s="55" t="n">
        <f aca="false">IF(AND(U30=1,Assumptions!$B$32-V29&gt;0),1,0)</f>
        <v>1</v>
      </c>
      <c r="W30" s="55" t="n">
        <f aca="false">IF(AND(V30=1,Assumptions!$B$32-W29&gt;0),1,0)</f>
        <v>1</v>
      </c>
      <c r="X30" s="55" t="n">
        <f aca="false">IF(AND(W30=1,Assumptions!$B$32-X29&gt;0),1,0)</f>
        <v>1</v>
      </c>
      <c r="Y30" s="55" t="n">
        <f aca="false">IF(AND(X30=1,Assumptions!$B$32-Y29&gt;0),1,0)</f>
        <v>0</v>
      </c>
    </row>
    <row r="32" customFormat="false" ht="15" hidden="false" customHeight="false" outlineLevel="0" collapsed="false">
      <c r="A32" s="13" t="s">
        <v>341</v>
      </c>
    </row>
    <row r="33" customFormat="false" ht="15" hidden="false" customHeight="false" outlineLevel="0" collapsed="false">
      <c r="A33" s="13" t="s">
        <v>342</v>
      </c>
      <c r="B33" s="23" t="n">
        <f aca="false">SUM(B24:Y24)</f>
        <v>13</v>
      </c>
    </row>
    <row r="34" customFormat="false" ht="15" hidden="false" customHeight="false" outlineLevel="0" collapsed="false">
      <c r="A34" s="13" t="s">
        <v>343</v>
      </c>
      <c r="B34" s="23" t="n">
        <f aca="false">SUM(B25:Y25)</f>
        <v>22</v>
      </c>
    </row>
    <row r="35" customFormat="false" ht="15" hidden="false" customHeight="false" outlineLevel="0" collapsed="false">
      <c r="A35" s="13" t="s">
        <v>344</v>
      </c>
      <c r="B35" s="23" t="n">
        <f aca="false">SUM(B26:Y26)</f>
        <v>24</v>
      </c>
    </row>
    <row r="36" customFormat="false" ht="15" hidden="false" customHeight="false" outlineLevel="0" collapsed="false">
      <c r="A36" s="13" t="s">
        <v>345</v>
      </c>
      <c r="B36" s="23" t="n">
        <f aca="false">SUM(B30:Y30)</f>
        <v>23</v>
      </c>
    </row>
    <row r="37" customFormat="false" ht="15" hidden="false" customHeight="false" outlineLevel="0" collapsed="false">
      <c r="A37" s="13" t="s">
        <v>346</v>
      </c>
      <c r="B37" s="23" t="n">
        <f aca="false">B36-B34</f>
        <v>1</v>
      </c>
    </row>
    <row r="38" customFormat="false" ht="15" hidden="false" customHeight="false" outlineLevel="0" collapsed="false">
      <c r="A38" s="13" t="s">
        <v>347</v>
      </c>
      <c r="B38" s="23" t="n">
        <f aca="false">IFERROR(MATCH(1,B23:Y23,0),"not within 24 months")</f>
        <v>12</v>
      </c>
    </row>
    <row r="39" customFormat="false" ht="15" hidden="false" customHeight="false" outlineLevel="0" collapsed="false">
      <c r="A39" s="13" t="s">
        <v>348</v>
      </c>
      <c r="B39" s="33" t="n">
        <f aca="false">SUM(B18:Y18)</f>
        <v>3.35226400738139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3" min="3" style="0" width="12"/>
    <col collapsed="false" customWidth="true" hidden="false" outlineLevel="0" max="4" min="4" style="0" width="13"/>
    <col collapsed="false" customWidth="true" hidden="false" outlineLevel="0" max="5" min="5" style="0" width="14"/>
    <col collapsed="false" customWidth="true" hidden="false" outlineLevel="0" max="6" min="6" style="0" width="60"/>
    <col collapsed="false" customWidth="true" hidden="false" outlineLevel="0" max="12" min="7" style="0" width="12"/>
    <col collapsed="false" customWidth="true" hidden="false" outlineLevel="0" max="14" min="13" style="0" width="10"/>
    <col collapsed="false" customWidth="true" hidden="false" outlineLevel="0" max="16" min="15" style="0" width="30"/>
  </cols>
  <sheetData>
    <row r="1" customFormat="false" ht="17.35" hidden="false" customHeight="false" outlineLevel="0" collapsed="false">
      <c r="A1" s="1" t="s">
        <v>349</v>
      </c>
    </row>
    <row r="2" customFormat="false" ht="15" hidden="false" customHeight="false" outlineLevel="0" collapsed="false">
      <c r="A2" s="2" t="s">
        <v>350</v>
      </c>
    </row>
    <row r="4" customFormat="false" ht="15" hidden="false" customHeight="false" outlineLevel="0" collapsed="false">
      <c r="A4" s="2" t="s">
        <v>351</v>
      </c>
    </row>
    <row r="5" customFormat="false" ht="15" hidden="false" customHeight="false" outlineLevel="0" collapsed="false">
      <c r="A5" s="13" t="s">
        <v>352</v>
      </c>
    </row>
    <row r="6" customFormat="false" ht="23.85" hidden="false" customHeight="false" outlineLevel="0" collapsed="false">
      <c r="A6" s="3" t="s">
        <v>353</v>
      </c>
      <c r="B6" s="3" t="s">
        <v>354</v>
      </c>
      <c r="C6" s="3" t="s">
        <v>355</v>
      </c>
      <c r="D6" s="3" t="s">
        <v>356</v>
      </c>
      <c r="E6" s="3" t="s">
        <v>357</v>
      </c>
      <c r="F6" s="3" t="s">
        <v>358</v>
      </c>
    </row>
    <row r="7" customFormat="false" ht="23.85" hidden="false" customHeight="false" outlineLevel="0" collapsed="false">
      <c r="A7" s="4" t="s">
        <v>359</v>
      </c>
      <c r="B7" s="19" t="n">
        <v>2</v>
      </c>
      <c r="C7" s="19" t="n">
        <v>357</v>
      </c>
      <c r="D7" s="19" t="n">
        <v>349</v>
      </c>
      <c r="E7" s="19" t="n">
        <v>715</v>
      </c>
      <c r="F7" s="17" t="s">
        <v>360</v>
      </c>
    </row>
    <row r="8" customFormat="false" ht="23.85" hidden="false" customHeight="false" outlineLevel="0" collapsed="false">
      <c r="A8" s="4" t="s">
        <v>361</v>
      </c>
      <c r="B8" s="19" t="n">
        <v>3</v>
      </c>
      <c r="C8" s="19" t="n">
        <v>253</v>
      </c>
      <c r="D8" s="19" t="n">
        <v>184</v>
      </c>
      <c r="E8" s="19" t="n">
        <v>447</v>
      </c>
      <c r="F8" s="17" t="s">
        <v>362</v>
      </c>
    </row>
    <row r="9" customFormat="false" ht="15" hidden="false" customHeight="false" outlineLevel="0" collapsed="false">
      <c r="A9" s="4" t="s">
        <v>363</v>
      </c>
      <c r="B9" s="19" t="n">
        <v>3</v>
      </c>
      <c r="C9" s="19" t="n">
        <v>173</v>
      </c>
      <c r="D9" s="19" t="n">
        <v>185</v>
      </c>
      <c r="E9" s="19" t="n">
        <v>369</v>
      </c>
      <c r="F9" s="17" t="s">
        <v>364</v>
      </c>
    </row>
    <row r="10" customFormat="false" ht="15" hidden="false" customHeight="false" outlineLevel="0" collapsed="false">
      <c r="A10" s="4" t="s">
        <v>365</v>
      </c>
      <c r="B10" s="19" t="n">
        <v>2</v>
      </c>
      <c r="C10" s="19" t="n">
        <v>273</v>
      </c>
      <c r="D10" s="19" t="n">
        <v>93</v>
      </c>
      <c r="E10" s="19" t="n">
        <v>375</v>
      </c>
      <c r="F10" s="17" t="s">
        <v>366</v>
      </c>
    </row>
    <row r="11" customFormat="false" ht="23.85" hidden="false" customHeight="false" outlineLevel="0" collapsed="false">
      <c r="A11" s="4" t="s">
        <v>367</v>
      </c>
      <c r="B11" s="19" t="n">
        <v>3</v>
      </c>
      <c r="C11" s="19" t="n">
        <v>461</v>
      </c>
      <c r="D11" s="19" t="n">
        <v>154</v>
      </c>
      <c r="E11" s="19" t="n">
        <v>625</v>
      </c>
      <c r="F11" s="17" t="s">
        <v>368</v>
      </c>
    </row>
    <row r="12" customFormat="false" ht="15" hidden="false" customHeight="false" outlineLevel="0" collapsed="false">
      <c r="A12" s="4" t="s">
        <v>369</v>
      </c>
      <c r="B12" s="19" t="n">
        <v>2</v>
      </c>
      <c r="C12" s="19" t="n">
        <v>111</v>
      </c>
      <c r="D12" s="19" t="n">
        <v>63</v>
      </c>
      <c r="E12" s="19" t="n">
        <v>184</v>
      </c>
      <c r="F12" s="17" t="s">
        <v>370</v>
      </c>
    </row>
    <row r="13" customFormat="false" ht="15" hidden="false" customHeight="false" outlineLevel="0" collapsed="false">
      <c r="A13" s="13" t="s">
        <v>371</v>
      </c>
      <c r="E13" s="40" t="n">
        <f aca="false">AVERAGE(E7:E12)</f>
        <v>452.5</v>
      </c>
    </row>
    <row r="14" customFormat="false" ht="15" hidden="false" customHeight="false" outlineLevel="0" collapsed="false">
      <c r="A14" s="2" t="s">
        <v>372</v>
      </c>
    </row>
    <row r="16" customFormat="false" ht="15" hidden="false" customHeight="false" outlineLevel="0" collapsed="false">
      <c r="A16" s="13" t="s">
        <v>373</v>
      </c>
    </row>
    <row r="17" customFormat="false" ht="23.85" hidden="false" customHeight="false" outlineLevel="0" collapsed="false">
      <c r="A17" s="3" t="s">
        <v>374</v>
      </c>
      <c r="B17" s="3" t="s">
        <v>375</v>
      </c>
      <c r="C17" s="3" t="s">
        <v>376</v>
      </c>
      <c r="D17" s="3" t="s">
        <v>377</v>
      </c>
      <c r="E17" s="3" t="s">
        <v>378</v>
      </c>
      <c r="F17" s="3" t="s">
        <v>379</v>
      </c>
      <c r="G17" s="3" t="s">
        <v>380</v>
      </c>
      <c r="H17" s="3" t="s">
        <v>381</v>
      </c>
      <c r="I17" s="3" t="s">
        <v>382</v>
      </c>
      <c r="J17" s="3" t="s">
        <v>383</v>
      </c>
      <c r="K17" s="3" t="s">
        <v>384</v>
      </c>
      <c r="L17" s="3" t="s">
        <v>385</v>
      </c>
      <c r="M17" s="3" t="s">
        <v>386</v>
      </c>
      <c r="N17" s="3" t="s">
        <v>387</v>
      </c>
      <c r="O17" s="3" t="s">
        <v>388</v>
      </c>
      <c r="P17" s="3" t="s">
        <v>389</v>
      </c>
    </row>
    <row r="18" customFormat="false" ht="15" hidden="false" customHeight="false" outlineLevel="0" collapsed="false">
      <c r="A18" s="35" t="s">
        <v>359</v>
      </c>
      <c r="B18" s="35" t="n">
        <v>2</v>
      </c>
      <c r="C18" s="35" t="n">
        <v>1489</v>
      </c>
      <c r="D18" s="35" t="n">
        <v>369</v>
      </c>
      <c r="E18" s="35" t="n">
        <v>269</v>
      </c>
      <c r="F18" s="35" t="n">
        <v>6.254E-005</v>
      </c>
      <c r="G18" s="35" t="s">
        <v>390</v>
      </c>
      <c r="H18" s="35" t="n">
        <v>1241</v>
      </c>
      <c r="I18" s="35" t="n">
        <v>396</v>
      </c>
      <c r="J18" s="35" t="n">
        <v>0</v>
      </c>
      <c r="K18" s="35" t="n">
        <v>5316</v>
      </c>
      <c r="L18" s="35" t="n">
        <v>0.003206</v>
      </c>
      <c r="M18" s="56" t="b">
        <f aca="false">TRUE()</f>
        <v>1</v>
      </c>
      <c r="N18" s="35" t="n">
        <v>1</v>
      </c>
      <c r="O18" s="35" t="s">
        <v>391</v>
      </c>
      <c r="P18" s="35" t="s">
        <v>392</v>
      </c>
    </row>
    <row r="19" customFormat="false" ht="15" hidden="false" customHeight="false" outlineLevel="0" collapsed="false">
      <c r="A19" s="35" t="s">
        <v>361</v>
      </c>
      <c r="B19" s="35" t="n">
        <v>3</v>
      </c>
      <c r="C19" s="35" t="n">
        <v>906</v>
      </c>
      <c r="D19" s="35" t="n">
        <v>105</v>
      </c>
      <c r="E19" s="35" t="n">
        <v>240</v>
      </c>
      <c r="F19" s="35" t="n">
        <v>3.805E-005</v>
      </c>
      <c r="G19" s="35" t="s">
        <v>390</v>
      </c>
      <c r="H19" s="35" t="n">
        <v>844</v>
      </c>
      <c r="I19" s="35" t="n">
        <v>361</v>
      </c>
      <c r="J19" s="35" t="n">
        <v>0</v>
      </c>
      <c r="K19" s="35" t="n">
        <v>3910</v>
      </c>
      <c r="L19" s="35" t="n">
        <v>0.002704</v>
      </c>
      <c r="M19" s="56" t="b">
        <f aca="false">TRUE()</f>
        <v>1</v>
      </c>
      <c r="N19" s="35" t="n">
        <v>1</v>
      </c>
      <c r="O19" s="35" t="s">
        <v>393</v>
      </c>
      <c r="P19" s="35" t="s">
        <v>394</v>
      </c>
    </row>
    <row r="20" customFormat="false" ht="15" hidden="false" customHeight="false" outlineLevel="0" collapsed="false">
      <c r="A20" s="35" t="s">
        <v>363</v>
      </c>
      <c r="B20" s="35" t="n">
        <v>3</v>
      </c>
      <c r="C20" s="35" t="n">
        <v>766</v>
      </c>
      <c r="D20" s="35" t="n">
        <v>132</v>
      </c>
      <c r="E20" s="35" t="n">
        <v>260</v>
      </c>
      <c r="F20" s="35" t="n">
        <v>3.217E-005</v>
      </c>
      <c r="G20" s="35" t="s">
        <v>390</v>
      </c>
      <c r="H20" s="35" t="n">
        <v>666</v>
      </c>
      <c r="I20" s="35" t="n">
        <v>402</v>
      </c>
      <c r="J20" s="35" t="n">
        <v>0</v>
      </c>
      <c r="K20" s="35" t="n">
        <v>5210</v>
      </c>
      <c r="L20" s="35" t="n">
        <v>0.002646</v>
      </c>
      <c r="M20" s="56" t="b">
        <f aca="false">TRUE()</f>
        <v>1</v>
      </c>
      <c r="N20" s="35" t="n">
        <v>0.5</v>
      </c>
      <c r="O20" s="35" t="s">
        <v>395</v>
      </c>
      <c r="P20" s="35" t="s">
        <v>396</v>
      </c>
    </row>
    <row r="21" customFormat="false" ht="15" hidden="false" customHeight="false" outlineLevel="0" collapsed="false">
      <c r="A21" s="35" t="s">
        <v>365</v>
      </c>
      <c r="B21" s="35" t="n">
        <v>2</v>
      </c>
      <c r="C21" s="35" t="n">
        <v>809</v>
      </c>
      <c r="D21" s="35" t="n">
        <v>95</v>
      </c>
      <c r="E21" s="35" t="n">
        <v>276</v>
      </c>
      <c r="F21" s="35" t="n">
        <v>3.398E-005</v>
      </c>
      <c r="G21" s="35" t="s">
        <v>390</v>
      </c>
      <c r="H21" s="35" t="n">
        <v>741</v>
      </c>
      <c r="I21" s="35" t="n">
        <v>355</v>
      </c>
      <c r="J21" s="35" t="n">
        <v>0</v>
      </c>
      <c r="K21" s="35" t="n">
        <v>4519</v>
      </c>
      <c r="L21" s="35" t="n">
        <v>0.002371</v>
      </c>
      <c r="M21" s="56" t="b">
        <f aca="false">TRUE()</f>
        <v>1</v>
      </c>
      <c r="N21" s="35" t="n">
        <v>1</v>
      </c>
      <c r="O21" s="35" t="s">
        <v>397</v>
      </c>
      <c r="P21" s="35" t="s">
        <v>398</v>
      </c>
    </row>
    <row r="22" customFormat="false" ht="15" hidden="false" customHeight="false" outlineLevel="0" collapsed="false">
      <c r="A22" s="35" t="s">
        <v>367</v>
      </c>
      <c r="B22" s="35" t="n">
        <v>3</v>
      </c>
      <c r="C22" s="35" t="n">
        <v>1007</v>
      </c>
      <c r="D22" s="35" t="n">
        <v>100</v>
      </c>
      <c r="E22" s="35" t="n">
        <v>256</v>
      </c>
      <c r="F22" s="35" t="n">
        <v>4.229E-005</v>
      </c>
      <c r="G22" s="35" t="s">
        <v>390</v>
      </c>
      <c r="H22" s="35" t="n">
        <v>942</v>
      </c>
      <c r="I22" s="35" t="n">
        <v>381</v>
      </c>
      <c r="J22" s="35" t="n">
        <v>0</v>
      </c>
      <c r="K22" s="35" t="n">
        <v>4264</v>
      </c>
      <c r="L22" s="35" t="n">
        <v>0.002862</v>
      </c>
      <c r="M22" s="56" t="b">
        <f aca="false">TRUE()</f>
        <v>1</v>
      </c>
      <c r="N22" s="35" t="n">
        <v>1</v>
      </c>
      <c r="O22" s="35" t="s">
        <v>399</v>
      </c>
      <c r="P22" s="35" t="s">
        <v>400</v>
      </c>
    </row>
    <row r="23" customFormat="false" ht="15" hidden="false" customHeight="false" outlineLevel="0" collapsed="false">
      <c r="A23" s="35" t="s">
        <v>369</v>
      </c>
      <c r="B23" s="35" t="n">
        <v>2</v>
      </c>
      <c r="C23" s="35" t="n">
        <v>502</v>
      </c>
      <c r="D23" s="35" t="n">
        <v>34</v>
      </c>
      <c r="E23" s="35" t="n">
        <v>271</v>
      </c>
      <c r="F23" s="35" t="n">
        <v>2.108E-005</v>
      </c>
      <c r="G23" s="35" t="s">
        <v>390</v>
      </c>
      <c r="H23" s="35" t="n">
        <v>435</v>
      </c>
      <c r="I23" s="35" t="n">
        <v>331</v>
      </c>
      <c r="J23" s="35" t="n">
        <v>0</v>
      </c>
      <c r="K23" s="35" t="n">
        <v>4306</v>
      </c>
      <c r="L23" s="35" t="n">
        <v>0.00209</v>
      </c>
      <c r="M23" s="56" t="b">
        <f aca="false">TRUE()</f>
        <v>1</v>
      </c>
      <c r="N23" s="35" t="n">
        <v>1</v>
      </c>
      <c r="O23" s="35" t="s">
        <v>401</v>
      </c>
      <c r="P23" s="35" t="s">
        <v>402</v>
      </c>
    </row>
    <row r="24" customFormat="false" ht="15" hidden="false" customHeight="false" outlineLevel="0" collapsed="false">
      <c r="A24" s="35" t="s">
        <v>359</v>
      </c>
      <c r="B24" s="35" t="n">
        <v>2</v>
      </c>
      <c r="C24" s="35" t="n">
        <v>1489</v>
      </c>
      <c r="D24" s="35" t="n">
        <v>369</v>
      </c>
      <c r="E24" s="35" t="n">
        <v>237</v>
      </c>
      <c r="F24" s="35" t="n">
        <v>6.254E-005</v>
      </c>
      <c r="G24" s="35" t="s">
        <v>403</v>
      </c>
      <c r="H24" s="35" t="n">
        <v>1046</v>
      </c>
      <c r="I24" s="35" t="n">
        <v>77</v>
      </c>
      <c r="J24" s="35" t="n">
        <v>42</v>
      </c>
      <c r="K24" s="35" t="n">
        <v>2814</v>
      </c>
      <c r="L24" s="35" t="n">
        <v>0.0012946</v>
      </c>
      <c r="M24" s="56" t="b">
        <f aca="false">TRUE()</f>
        <v>1</v>
      </c>
      <c r="N24" s="35" t="n">
        <v>1</v>
      </c>
      <c r="O24" s="35" t="s">
        <v>391</v>
      </c>
      <c r="P24" s="35" t="s">
        <v>404</v>
      </c>
    </row>
    <row r="25" customFormat="false" ht="15" hidden="false" customHeight="false" outlineLevel="0" collapsed="false">
      <c r="A25" s="35" t="s">
        <v>361</v>
      </c>
      <c r="B25" s="35" t="n">
        <v>3</v>
      </c>
      <c r="C25" s="35" t="n">
        <v>906</v>
      </c>
      <c r="D25" s="35" t="n">
        <v>105</v>
      </c>
      <c r="E25" s="35" t="n">
        <v>259</v>
      </c>
      <c r="F25" s="35" t="n">
        <v>3.805E-005</v>
      </c>
      <c r="G25" s="35" t="s">
        <v>403</v>
      </c>
      <c r="H25" s="35" t="n">
        <v>707</v>
      </c>
      <c r="I25" s="35" t="n">
        <v>134</v>
      </c>
      <c r="J25" s="35" t="n">
        <v>82</v>
      </c>
      <c r="K25" s="35" t="n">
        <v>3606</v>
      </c>
      <c r="L25" s="35" t="n">
        <v>0.003022</v>
      </c>
      <c r="M25" s="56" t="b">
        <f aca="false">TRUE()</f>
        <v>1</v>
      </c>
      <c r="N25" s="35" t="n">
        <v>1</v>
      </c>
      <c r="O25" s="35" t="s">
        <v>405</v>
      </c>
      <c r="P25" s="35" t="s">
        <v>406</v>
      </c>
    </row>
    <row r="26" customFormat="false" ht="15" hidden="false" customHeight="false" outlineLevel="0" collapsed="false">
      <c r="A26" s="35" t="s">
        <v>363</v>
      </c>
      <c r="B26" s="35" t="n">
        <v>3</v>
      </c>
      <c r="C26" s="35" t="n">
        <v>766</v>
      </c>
      <c r="D26" s="35" t="n">
        <v>132</v>
      </c>
      <c r="E26" s="35" t="n">
        <v>254</v>
      </c>
      <c r="F26" s="35" t="n">
        <v>3.217E-005</v>
      </c>
      <c r="G26" s="35" t="s">
        <v>403</v>
      </c>
      <c r="H26" s="35" t="n">
        <v>570</v>
      </c>
      <c r="I26" s="35" t="n">
        <v>126</v>
      </c>
      <c r="J26" s="35" t="n">
        <v>76</v>
      </c>
      <c r="K26" s="35" t="n">
        <v>3057</v>
      </c>
      <c r="L26" s="35" t="n">
        <v>0.00252</v>
      </c>
      <c r="M26" s="56" t="b">
        <f aca="false">TRUE()</f>
        <v>1</v>
      </c>
      <c r="N26" s="35" t="n">
        <v>1</v>
      </c>
      <c r="O26" s="35" t="s">
        <v>407</v>
      </c>
      <c r="P26" s="35" t="s">
        <v>408</v>
      </c>
    </row>
    <row r="27" customFormat="false" ht="15" hidden="false" customHeight="false" outlineLevel="0" collapsed="false">
      <c r="A27" s="35" t="s">
        <v>365</v>
      </c>
      <c r="B27" s="35" t="n">
        <v>2</v>
      </c>
      <c r="C27" s="35" t="n">
        <v>809</v>
      </c>
      <c r="D27" s="35" t="n">
        <v>95</v>
      </c>
      <c r="E27" s="35" t="n">
        <v>355</v>
      </c>
      <c r="F27" s="35" t="n">
        <v>3.398E-005</v>
      </c>
      <c r="G27" s="35" t="s">
        <v>403</v>
      </c>
      <c r="H27" s="35" t="n">
        <v>623</v>
      </c>
      <c r="I27" s="35" t="n">
        <v>197</v>
      </c>
      <c r="J27" s="35" t="n">
        <v>160</v>
      </c>
      <c r="K27" s="35" t="n">
        <v>4005</v>
      </c>
      <c r="L27" s="35" t="n">
        <v>0.00355</v>
      </c>
      <c r="M27" s="56" t="b">
        <f aca="false">TRUE()</f>
        <v>1</v>
      </c>
      <c r="N27" s="35" t="n">
        <v>0.5</v>
      </c>
      <c r="O27" s="35" t="s">
        <v>409</v>
      </c>
      <c r="P27" s="35" t="s">
        <v>410</v>
      </c>
    </row>
    <row r="28" customFormat="false" ht="15" hidden="false" customHeight="false" outlineLevel="0" collapsed="false">
      <c r="A28" s="35" t="s">
        <v>367</v>
      </c>
      <c r="B28" s="35" t="n">
        <v>3</v>
      </c>
      <c r="C28" s="35" t="n">
        <v>1007</v>
      </c>
      <c r="D28" s="35" t="n">
        <v>100</v>
      </c>
      <c r="E28" s="35" t="n">
        <v>271</v>
      </c>
      <c r="F28" s="35" t="n">
        <v>4.229E-005</v>
      </c>
      <c r="G28" s="35" t="s">
        <v>403</v>
      </c>
      <c r="H28" s="35" t="n">
        <v>818</v>
      </c>
      <c r="I28" s="35" t="n">
        <v>161</v>
      </c>
      <c r="J28" s="35" t="n">
        <v>106</v>
      </c>
      <c r="K28" s="35" t="n">
        <v>3140</v>
      </c>
      <c r="L28" s="35" t="n">
        <v>0.003568</v>
      </c>
      <c r="M28" s="56" t="b">
        <f aca="false">TRUE()</f>
        <v>1</v>
      </c>
      <c r="N28" s="35" t="n">
        <v>1</v>
      </c>
      <c r="O28" s="35" t="s">
        <v>411</v>
      </c>
      <c r="P28" s="35" t="s">
        <v>412</v>
      </c>
    </row>
    <row r="29" customFormat="false" ht="15" hidden="false" customHeight="false" outlineLevel="0" collapsed="false">
      <c r="A29" s="35" t="s">
        <v>369</v>
      </c>
      <c r="B29" s="35" t="n">
        <v>2</v>
      </c>
      <c r="C29" s="35" t="n">
        <v>502</v>
      </c>
      <c r="D29" s="35" t="n">
        <v>34</v>
      </c>
      <c r="E29" s="35" t="n">
        <v>261</v>
      </c>
      <c r="F29" s="35" t="n">
        <v>2.108E-005</v>
      </c>
      <c r="G29" s="35" t="s">
        <v>403</v>
      </c>
      <c r="H29" s="35" t="n">
        <v>358</v>
      </c>
      <c r="I29" s="35" t="n">
        <v>31</v>
      </c>
      <c r="J29" s="35" t="n">
        <v>0</v>
      </c>
      <c r="K29" s="35" t="n">
        <v>1280</v>
      </c>
      <c r="L29" s="35" t="n">
        <v>0.001088</v>
      </c>
      <c r="M29" s="56" t="b">
        <f aca="false">TRUE()</f>
        <v>1</v>
      </c>
      <c r="N29" s="35" t="n">
        <v>1</v>
      </c>
      <c r="O29" s="35" t="s">
        <v>413</v>
      </c>
      <c r="P29" s="35" t="s">
        <v>414</v>
      </c>
    </row>
    <row r="31" customFormat="false" ht="15" hidden="false" customHeight="false" outlineLevel="0" collapsed="false">
      <c r="A31" s="13" t="s">
        <v>415</v>
      </c>
      <c r="B31" s="13" t="s">
        <v>416</v>
      </c>
      <c r="C31" s="13" t="str">
        <f aca="false">IF(G18="","Model 1",G18)</f>
        <v>anthropic/claude-haiku-4.5</v>
      </c>
      <c r="D31" s="13" t="str">
        <f aca="false">IF(G24="","Model 2",G24)</f>
        <v>openai/gpt-5.6-terra</v>
      </c>
    </row>
    <row r="32" customFormat="false" ht="15" hidden="false" customHeight="false" outlineLevel="0" collapsed="false">
      <c r="A32" s="4" t="s">
        <v>417</v>
      </c>
      <c r="B32" s="23" t="n">
        <f aca="false">IFERROR(AVERAGE(C18:C29),0)</f>
        <v>913.166666666667</v>
      </c>
    </row>
    <row r="33" customFormat="false" ht="15" hidden="false" customHeight="false" outlineLevel="0" collapsed="false">
      <c r="A33" s="4" t="s">
        <v>418</v>
      </c>
      <c r="B33" s="51" t="n">
        <f aca="false">IF(OR(B32=0,E13=0),0,B32/E13)</f>
        <v>2.01804788213628</v>
      </c>
    </row>
    <row r="34" customFormat="false" ht="15" hidden="false" customHeight="false" outlineLevel="0" collapsed="false">
      <c r="A34" s="4" t="s">
        <v>419</v>
      </c>
      <c r="B34" s="23" t="n">
        <f aca="false">IFERROR(INTERCEPT(C18:C23,E7:E12),0)</f>
        <v>179.021807921595</v>
      </c>
    </row>
    <row r="35" customFormat="false" ht="15" hidden="false" customHeight="false" outlineLevel="0" collapsed="false">
      <c r="A35" s="4" t="s">
        <v>420</v>
      </c>
      <c r="B35" s="57" t="n">
        <f aca="false">IFERROR(SLOPE(C18:C23,E7:E12),0)</f>
        <v>1.62241957733718</v>
      </c>
    </row>
    <row r="36" customFormat="false" ht="15" hidden="false" customHeight="false" outlineLevel="0" collapsed="false">
      <c r="A36" s="4" t="s">
        <v>421</v>
      </c>
      <c r="B36" s="23" t="n">
        <f aca="false">IFERROR(MEDIAN(E18:E29),0)</f>
        <v>260.5</v>
      </c>
    </row>
    <row r="37" customFormat="false" ht="15" hidden="false" customHeight="false" outlineLevel="0" collapsed="false">
      <c r="A37" s="4" t="s">
        <v>422</v>
      </c>
      <c r="B37" s="49" t="n">
        <f aca="false">IFERROR(AVERAGE(F18:F29),0)</f>
        <v>3.83516666666667E-005</v>
      </c>
    </row>
    <row r="38" customFormat="false" ht="15" hidden="false" customHeight="false" outlineLevel="0" collapsed="false">
      <c r="A38" s="4" t="s">
        <v>423</v>
      </c>
      <c r="B38" s="23" t="n">
        <f aca="false">IFERROR(AVERAGE(H18:H29),0)</f>
        <v>749.25</v>
      </c>
      <c r="C38" s="23" t="n">
        <f aca="false">IFERROR(AVERAGEIF($G$18:$G$29,C$31,H$18:H$29),0)</f>
        <v>811.5</v>
      </c>
      <c r="D38" s="23" t="n">
        <f aca="false">IFERROR(AVERAGEIF($G$18:$G$29,D$31,H$18:H$29),0)</f>
        <v>687</v>
      </c>
    </row>
    <row r="39" customFormat="false" ht="15" hidden="false" customHeight="false" outlineLevel="0" collapsed="false">
      <c r="A39" s="4" t="s">
        <v>424</v>
      </c>
      <c r="B39" s="23" t="n">
        <f aca="false">IFERROR(AVERAGE(I18:I29),0)</f>
        <v>246</v>
      </c>
      <c r="C39" s="23" t="n">
        <f aca="false">IFERROR(AVERAGEIF($G$18:$G$29,C$31,I$18:I$29),0)</f>
        <v>371</v>
      </c>
      <c r="D39" s="23" t="n">
        <f aca="false">IFERROR(AVERAGEIF($G$18:$G$29,D$31,I$18:I$29),0)</f>
        <v>121</v>
      </c>
    </row>
    <row r="40" customFormat="false" ht="15" hidden="false" customHeight="false" outlineLevel="0" collapsed="false">
      <c r="A40" s="4" t="s">
        <v>425</v>
      </c>
      <c r="B40" s="23" t="n">
        <f aca="false">IFERROR(AVERAGE(J18:J29),0)</f>
        <v>38.8333333333333</v>
      </c>
      <c r="C40" s="23" t="n">
        <f aca="false">IFERROR(AVERAGEIF($G$18:$G$29,C$31,J$18:J$29),0)</f>
        <v>0</v>
      </c>
      <c r="D40" s="23" t="n">
        <f aca="false">IFERROR(AVERAGEIF($G$18:$G$29,D$31,J$18:J$29),0)</f>
        <v>77.6666666666667</v>
      </c>
    </row>
    <row r="41" customFormat="false" ht="15" hidden="false" customHeight="false" outlineLevel="0" collapsed="false">
      <c r="A41" s="4" t="s">
        <v>426</v>
      </c>
      <c r="B41" s="23" t="n">
        <f aca="false">IFERROR(MEDIAN(K18:K29),0)</f>
        <v>3957.5</v>
      </c>
      <c r="C41" s="23" t="n">
        <f aca="false">IFERROR(AVERAGEIF($G$18:$G$29,C$31,K$18:K$29),0)</f>
        <v>4587.5</v>
      </c>
      <c r="D41" s="23" t="n">
        <f aca="false">IFERROR(AVERAGEIF($G$18:$G$29,D$31,K$18:K$29),0)</f>
        <v>2983.66666666667</v>
      </c>
    </row>
    <row r="42" customFormat="false" ht="15" hidden="false" customHeight="false" outlineLevel="0" collapsed="false">
      <c r="A42" s="4" t="s">
        <v>427</v>
      </c>
      <c r="B42" s="49" t="n">
        <f aca="false">IFERROR(AVERAGE(L18:L29),0)</f>
        <v>0.0025768</v>
      </c>
      <c r="C42" s="49" t="n">
        <f aca="false">IFERROR(AVERAGEIF($G$18:$G$29,C$31,L$18:L$29),0)</f>
        <v>0.0026465</v>
      </c>
      <c r="D42" s="49" t="n">
        <f aca="false">IFERROR(AVERAGEIF($G$18:$G$29,D$31,L$18:L$29),0)</f>
        <v>0.0025071</v>
      </c>
    </row>
    <row r="43" customFormat="false" ht="15" hidden="false" customHeight="false" outlineLevel="0" collapsed="false">
      <c r="A43" s="4" t="s">
        <v>428</v>
      </c>
      <c r="B43" s="51" t="n">
        <f aca="false">IF($B$37=0,0,B42/$B$37)</f>
        <v>67.1887358219982</v>
      </c>
      <c r="C43" s="51" t="n">
        <f aca="false">IF($B$37=0,0,C42/$B$37)</f>
        <v>69.0061275042371</v>
      </c>
      <c r="D43" s="51" t="n">
        <f aca="false">IF($B$37=0,0,D42/$B$37)</f>
        <v>65.3713441397592</v>
      </c>
    </row>
    <row r="44" customFormat="false" ht="15" hidden="false" customHeight="false" outlineLevel="0" collapsed="false">
      <c r="A44" s="4" t="s">
        <v>429</v>
      </c>
      <c r="B44" s="47" t="n">
        <f aca="false">IFERROR(AVERAGE(N18:N29),0)</f>
        <v>0.916666666666667</v>
      </c>
      <c r="C44" s="47" t="n">
        <f aca="false">IFERROR(AVERAGEIF($G$18:$G$29,C$31,N$18:N$29),0)</f>
        <v>0.916666666666667</v>
      </c>
      <c r="D44" s="47" t="n">
        <f aca="false">IFERROR(AVERAGEIF($G$18:$G$29,D$31,N$18:N$29),0)</f>
        <v>0.916666666666667</v>
      </c>
    </row>
    <row r="46" customFormat="false" ht="15" hidden="false" customHeight="false" outlineLevel="0" collapsed="false">
      <c r="A46" s="2" t="s">
        <v>430</v>
      </c>
    </row>
    <row r="47" customFormat="false" ht="15" hidden="false" customHeight="false" outlineLevel="0" collapsed="false">
      <c r="A47" s="2" t="s">
        <v>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7" min="6" style="0" width="14"/>
    <col collapsed="false" customWidth="true" hidden="false" outlineLevel="0" max="8" min="8" style="0" width="11"/>
    <col collapsed="false" customWidth="true" hidden="false" outlineLevel="0" max="9" min="9" style="0" width="80"/>
  </cols>
  <sheetData>
    <row r="1" customFormat="false" ht="17.35" hidden="false" customHeight="false" outlineLevel="0" collapsed="false">
      <c r="A1" s="1" t="s">
        <v>432</v>
      </c>
    </row>
    <row r="2" customFormat="false" ht="15" hidden="false" customHeight="false" outlineLevel="0" collapsed="false">
      <c r="A2" s="2" t="s">
        <v>433</v>
      </c>
    </row>
    <row r="4" customFormat="false" ht="15" hidden="false" customHeight="false" outlineLevel="0" collapsed="false">
      <c r="A4" s="13" t="s">
        <v>137</v>
      </c>
    </row>
    <row r="5" customFormat="false" ht="35.05" hidden="false" customHeight="false" outlineLevel="0" collapsed="false">
      <c r="A5" s="3" t="s">
        <v>434</v>
      </c>
      <c r="B5" s="3" t="s">
        <v>435</v>
      </c>
      <c r="C5" s="3" t="s">
        <v>436</v>
      </c>
      <c r="D5" s="3" t="s">
        <v>437</v>
      </c>
      <c r="E5" s="3" t="s">
        <v>438</v>
      </c>
      <c r="F5" s="3" t="s">
        <v>439</v>
      </c>
      <c r="G5" s="3" t="s">
        <v>440</v>
      </c>
      <c r="H5" s="3" t="s">
        <v>441</v>
      </c>
      <c r="I5" s="3" t="s">
        <v>442</v>
      </c>
    </row>
    <row r="6" customFormat="false" ht="23.85" hidden="false" customHeight="false" outlineLevel="0" collapsed="false">
      <c r="A6" s="4" t="s">
        <v>70</v>
      </c>
      <c r="B6" s="18" t="n">
        <v>2.5</v>
      </c>
      <c r="C6" s="18" t="n">
        <v>3</v>
      </c>
      <c r="D6" s="22" t="n">
        <v>3.84</v>
      </c>
      <c r="E6" s="22" t="n">
        <v>1.79</v>
      </c>
      <c r="F6" s="19" t="n">
        <v>989</v>
      </c>
      <c r="G6" s="19" t="n">
        <v>1979</v>
      </c>
      <c r="H6" s="23" t="n">
        <v>80</v>
      </c>
      <c r="I6" s="17" t="s">
        <v>443</v>
      </c>
    </row>
    <row r="7" customFormat="false" ht="23.85" hidden="false" customHeight="false" outlineLevel="0" collapsed="false">
      <c r="A7" s="4" t="s">
        <v>289</v>
      </c>
      <c r="B7" s="18" t="n">
        <v>2.9</v>
      </c>
      <c r="C7" s="18" t="n">
        <v>3.5</v>
      </c>
      <c r="D7" s="22" t="n">
        <v>4.43</v>
      </c>
      <c r="E7" s="22" t="n">
        <v>2.6</v>
      </c>
      <c r="F7" s="19" t="n">
        <v>989</v>
      </c>
      <c r="G7" s="19" t="n">
        <v>1979</v>
      </c>
      <c r="H7" s="23" t="n">
        <v>141</v>
      </c>
      <c r="I7" s="17" t="s">
        <v>444</v>
      </c>
    </row>
    <row r="8" customFormat="false" ht="23.85" hidden="false" customHeight="false" outlineLevel="0" collapsed="false">
      <c r="A8" s="4" t="s">
        <v>290</v>
      </c>
      <c r="B8" s="18" t="n">
        <v>4</v>
      </c>
      <c r="C8" s="18" t="n">
        <v>5</v>
      </c>
      <c r="D8" s="22" t="n">
        <v>6.39</v>
      </c>
      <c r="E8" s="22" t="n">
        <v>3.69</v>
      </c>
      <c r="F8" s="19" t="n">
        <v>2250</v>
      </c>
      <c r="G8" s="19" t="n">
        <v>4500</v>
      </c>
      <c r="H8" s="23" t="n">
        <v>192</v>
      </c>
      <c r="I8" s="17" t="s">
        <v>445</v>
      </c>
    </row>
    <row r="9" customFormat="false" ht="23.85" hidden="false" customHeight="false" outlineLevel="0" collapsed="false">
      <c r="A9" s="4" t="s">
        <v>291</v>
      </c>
      <c r="B9" s="18" t="n">
        <v>4.8</v>
      </c>
      <c r="C9" s="18" t="n">
        <v>6</v>
      </c>
      <c r="D9" s="22" t="s">
        <v>446</v>
      </c>
      <c r="E9" s="22" t="n">
        <v>4.89</v>
      </c>
      <c r="F9" s="19" t="n">
        <v>2250</v>
      </c>
      <c r="G9" s="19" t="n">
        <v>4500</v>
      </c>
      <c r="H9" s="23" t="n">
        <v>288</v>
      </c>
      <c r="I9" s="17" t="s">
        <v>447</v>
      </c>
    </row>
    <row r="10" customFormat="false" ht="15" hidden="false" customHeight="false" outlineLevel="0" collapsed="false">
      <c r="A10" s="2" t="s">
        <v>448</v>
      </c>
    </row>
    <row r="12" customFormat="false" ht="15" hidden="false" customHeight="false" outlineLevel="0" collapsed="false">
      <c r="A12" s="13" t="s">
        <v>449</v>
      </c>
    </row>
    <row r="13" customFormat="false" ht="35.05" hidden="false" customHeight="false" outlineLevel="0" collapsed="false">
      <c r="A13" s="3" t="s">
        <v>450</v>
      </c>
      <c r="B13" s="3" t="s">
        <v>451</v>
      </c>
      <c r="C13" s="3" t="s">
        <v>452</v>
      </c>
      <c r="D13" s="3" t="s">
        <v>177</v>
      </c>
      <c r="E13" s="3" t="s">
        <v>453</v>
      </c>
      <c r="F13" s="3" t="s">
        <v>454</v>
      </c>
      <c r="G13" s="3" t="s">
        <v>442</v>
      </c>
    </row>
    <row r="14" customFormat="false" ht="191.75" hidden="false" customHeight="false" outlineLevel="0" collapsed="false">
      <c r="A14" s="4" t="s">
        <v>105</v>
      </c>
      <c r="B14" s="18" t="n">
        <v>1</v>
      </c>
      <c r="C14" s="18" t="n">
        <v>5</v>
      </c>
      <c r="D14" s="4" t="s">
        <v>455</v>
      </c>
      <c r="E14" s="19" t="n">
        <v>371</v>
      </c>
      <c r="F14" s="19" t="n">
        <v>0</v>
      </c>
      <c r="G14" s="17" t="s">
        <v>456</v>
      </c>
    </row>
    <row r="15" customFormat="false" ht="35.05" hidden="false" customHeight="false" outlineLevel="0" collapsed="false">
      <c r="A15" s="4" t="s">
        <v>457</v>
      </c>
      <c r="B15" s="18" t="n">
        <v>0.75</v>
      </c>
      <c r="C15" s="18" t="n">
        <v>3.75</v>
      </c>
      <c r="D15" s="4" t="s">
        <v>455</v>
      </c>
      <c r="E15" s="19" t="n">
        <v>60</v>
      </c>
      <c r="F15" s="19" t="n">
        <v>0</v>
      </c>
      <c r="G15" s="17" t="s">
        <v>458</v>
      </c>
    </row>
    <row r="16" customFormat="false" ht="57.45" hidden="false" customHeight="false" outlineLevel="0" collapsed="false">
      <c r="A16" s="4" t="s">
        <v>459</v>
      </c>
      <c r="B16" s="18" t="n">
        <v>0.1</v>
      </c>
      <c r="C16" s="18" t="n">
        <v>0.5</v>
      </c>
      <c r="D16" s="4" t="s">
        <v>455</v>
      </c>
      <c r="E16" s="19" t="n">
        <v>60</v>
      </c>
      <c r="F16" s="19" t="n">
        <v>0</v>
      </c>
      <c r="G16" s="17" t="s">
        <v>460</v>
      </c>
    </row>
    <row r="17" customFormat="false" ht="35.05" hidden="false" customHeight="false" outlineLevel="0" collapsed="false">
      <c r="A17" s="4" t="s">
        <v>461</v>
      </c>
      <c r="B17" s="18" t="n">
        <v>0.22</v>
      </c>
      <c r="C17" s="18" t="n">
        <v>0.66</v>
      </c>
      <c r="D17" s="4" t="s">
        <v>455</v>
      </c>
      <c r="E17" s="19" t="n">
        <v>60</v>
      </c>
      <c r="F17" s="19" t="n">
        <v>0</v>
      </c>
      <c r="G17" s="17" t="s">
        <v>462</v>
      </c>
    </row>
    <row r="18" customFormat="false" ht="158.2" hidden="false" customHeight="false" outlineLevel="0" collapsed="false">
      <c r="A18" s="4" t="s">
        <v>107</v>
      </c>
      <c r="B18" s="18" t="n">
        <v>2</v>
      </c>
      <c r="C18" s="18" t="n">
        <v>12</v>
      </c>
      <c r="D18" s="4" t="s">
        <v>442</v>
      </c>
      <c r="E18" s="19" t="n">
        <v>43.3333333333333</v>
      </c>
      <c r="F18" s="19" t="n">
        <v>77.6666666666667</v>
      </c>
      <c r="G18" s="17" t="s">
        <v>463</v>
      </c>
    </row>
    <row r="19" customFormat="false" ht="46.25" hidden="false" customHeight="false" outlineLevel="0" collapsed="false">
      <c r="A19" s="4" t="s">
        <v>464</v>
      </c>
      <c r="B19" s="18" t="n">
        <v>2</v>
      </c>
      <c r="C19" s="18" t="n">
        <v>10</v>
      </c>
      <c r="D19" s="4" t="s">
        <v>442</v>
      </c>
      <c r="E19" s="19" t="n">
        <v>60</v>
      </c>
      <c r="F19" s="19" t="n">
        <v>800</v>
      </c>
      <c r="G19" s="17" t="s">
        <v>465</v>
      </c>
    </row>
    <row r="20" customFormat="false" ht="68.65" hidden="false" customHeight="false" outlineLevel="0" collapsed="false">
      <c r="A20" s="4" t="s">
        <v>466</v>
      </c>
      <c r="B20" s="18" t="n">
        <v>10</v>
      </c>
      <c r="C20" s="18" t="n">
        <v>50</v>
      </c>
      <c r="D20" s="4" t="s">
        <v>442</v>
      </c>
      <c r="E20" s="19" t="n">
        <v>60</v>
      </c>
      <c r="F20" s="19" t="n">
        <v>2000</v>
      </c>
      <c r="G20" s="17" t="s">
        <v>467</v>
      </c>
    </row>
    <row r="21" customFormat="false" ht="57.45" hidden="false" customHeight="false" outlineLevel="0" collapsed="false">
      <c r="A21" s="4" t="s">
        <v>468</v>
      </c>
      <c r="B21" s="18" t="n">
        <v>10</v>
      </c>
      <c r="C21" s="18" t="n">
        <v>50</v>
      </c>
      <c r="D21" s="4" t="s">
        <v>442</v>
      </c>
      <c r="E21" s="19" t="n">
        <v>60</v>
      </c>
      <c r="F21" s="19" t="n">
        <v>2000</v>
      </c>
      <c r="G21" s="17" t="s">
        <v>469</v>
      </c>
    </row>
    <row r="22" customFormat="false" ht="15" hidden="false" customHeight="false" outlineLevel="0" collapsed="false">
      <c r="A22" s="2" t="s">
        <v>470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42"/>
    <col collapsed="false" customWidth="true" hidden="false" outlineLevel="0" max="3" min="3" style="0" width="90"/>
  </cols>
  <sheetData>
    <row r="1" customFormat="false" ht="17.35" hidden="false" customHeight="false" outlineLevel="0" collapsed="false">
      <c r="A1" s="1" t="s">
        <v>471</v>
      </c>
    </row>
    <row r="2" customFormat="false" ht="15" hidden="false" customHeight="false" outlineLevel="0" collapsed="false">
      <c r="A2" s="2" t="s">
        <v>472</v>
      </c>
    </row>
    <row r="4" customFormat="false" ht="15" hidden="false" customHeight="false" outlineLevel="0" collapsed="false">
      <c r="A4" s="3" t="s">
        <v>473</v>
      </c>
      <c r="B4" s="3" t="s">
        <v>474</v>
      </c>
      <c r="C4" s="3" t="s">
        <v>475</v>
      </c>
    </row>
    <row r="5" customFormat="false" ht="15" hidden="false" customHeight="false" outlineLevel="0" collapsed="false">
      <c r="A5" s="4" t="s">
        <v>476</v>
      </c>
      <c r="B5" s="4" t="s">
        <v>477</v>
      </c>
      <c r="C5" s="4" t="s">
        <v>478</v>
      </c>
    </row>
    <row r="6" customFormat="false" ht="15" hidden="false" customHeight="false" outlineLevel="0" collapsed="false">
      <c r="A6" s="4" t="s">
        <v>479</v>
      </c>
      <c r="B6" s="4" t="s">
        <v>480</v>
      </c>
      <c r="C6" s="4" t="s">
        <v>481</v>
      </c>
    </row>
    <row r="7" customFormat="false" ht="15" hidden="false" customHeight="false" outlineLevel="0" collapsed="false">
      <c r="A7" s="4" t="s">
        <v>482</v>
      </c>
      <c r="B7" s="4" t="s">
        <v>483</v>
      </c>
      <c r="C7" s="4" t="s">
        <v>484</v>
      </c>
    </row>
    <row r="8" customFormat="false" ht="15" hidden="false" customHeight="false" outlineLevel="0" collapsed="false">
      <c r="A8" s="4" t="s">
        <v>485</v>
      </c>
      <c r="B8" s="4" t="s">
        <v>486</v>
      </c>
      <c r="C8" s="4" t="s">
        <v>487</v>
      </c>
    </row>
    <row r="9" customFormat="false" ht="15" hidden="false" customHeight="false" outlineLevel="0" collapsed="false">
      <c r="A9" s="4" t="s">
        <v>488</v>
      </c>
      <c r="B9" s="4" t="s">
        <v>489</v>
      </c>
      <c r="C9" s="4" t="s">
        <v>490</v>
      </c>
    </row>
    <row r="10" customFormat="false" ht="15" hidden="false" customHeight="false" outlineLevel="0" collapsed="false">
      <c r="A10" s="4" t="s">
        <v>491</v>
      </c>
      <c r="B10" s="4" t="s">
        <v>492</v>
      </c>
      <c r="C10" s="4" t="s">
        <v>493</v>
      </c>
    </row>
    <row r="11" customFormat="false" ht="15" hidden="false" customHeight="false" outlineLevel="0" collapsed="false">
      <c r="A11" s="4" t="s">
        <v>494</v>
      </c>
      <c r="B11" s="4" t="s">
        <v>495</v>
      </c>
      <c r="C11" s="4" t="s">
        <v>496</v>
      </c>
    </row>
    <row r="12" customFormat="false" ht="15" hidden="false" customHeight="false" outlineLevel="0" collapsed="false">
      <c r="A12" s="4" t="s">
        <v>497</v>
      </c>
      <c r="B12" s="4" t="s">
        <v>498</v>
      </c>
      <c r="C12" s="4" t="s">
        <v>499</v>
      </c>
    </row>
    <row r="13" customFormat="false" ht="15" hidden="false" customHeight="false" outlineLevel="0" collapsed="false">
      <c r="A13" s="4" t="s">
        <v>500</v>
      </c>
      <c r="B13" s="4" t="s">
        <v>501</v>
      </c>
      <c r="C13" s="4" t="s">
        <v>502</v>
      </c>
    </row>
    <row r="14" customFormat="false" ht="15" hidden="false" customHeight="false" outlineLevel="0" collapsed="false">
      <c r="A14" s="4" t="s">
        <v>503</v>
      </c>
      <c r="B14" s="4" t="s">
        <v>504</v>
      </c>
      <c r="C14" s="4" t="s">
        <v>505</v>
      </c>
    </row>
    <row r="15" customFormat="false" ht="15" hidden="false" customHeight="false" outlineLevel="0" collapsed="false">
      <c r="A15" s="4" t="s">
        <v>506</v>
      </c>
      <c r="B15" s="4" t="s">
        <v>507</v>
      </c>
      <c r="C15" s="4" t="s">
        <v>508</v>
      </c>
    </row>
    <row r="16" customFormat="false" ht="15" hidden="false" customHeight="false" outlineLevel="0" collapsed="false">
      <c r="A16" s="4" t="s">
        <v>509</v>
      </c>
      <c r="B16" s="4" t="s">
        <v>510</v>
      </c>
      <c r="C16" s="4" t="s">
        <v>511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2026-09-30T02:49:37Z</dcterms:created>
  <dc:creator>openpyxl</dc:creator>
  <dc:description/>
  <dc:language>en-US</dc:language>
  <cp:lastModifiedBy/>
  <dcterms:modified xsi:type="dcterms:W3CDTF">2026-09-30T02:49:37Z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