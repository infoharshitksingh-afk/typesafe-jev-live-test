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ummary" sheetId="1" state="visible" r:id="rId1"/>
    <sheet name="Assumptions" sheetId="2" state="visible" r:id="rId2"/>
    <sheet name="Hiring" sheetId="3" state="visible" r:id="rId3"/>
    <sheet name="UnitEcon" sheetId="4" state="visible" r:id="rId4"/>
    <sheet name="Sensitivity" sheetId="5" state="visible" r:id="rId5"/>
    <sheet name="Scale" sheetId="6" state="visible" r:id="rId6"/>
    <sheet name="Runway" sheetId="7" state="visible" r:id="rId7"/>
    <sheet name="LiveTest" sheetId="8" state="visible" r:id="rId8"/>
    <sheet name="Prices" sheetId="9" state="visible" r:id="rId9"/>
    <sheet name="Source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13">
    <numFmt numFmtId="164" formatCode="\$#,##0.0000;&quot;($&quot;#,##0.0000\);\-"/>
    <numFmt numFmtId="165" formatCode="0%;[RED]\(0%\);\-"/>
    <numFmt numFmtId="166" formatCode="#,##0.0;\(#,##0.0\);\-"/>
    <numFmt numFmtId="167" formatCode="\$#,##0.000000;&quot;($&quot;#,##0.000000\);\-"/>
    <numFmt numFmtId="168" formatCode="#,##0.0\x"/>
    <numFmt numFmtId="169" formatCode="0.0%;\(0.0%\);\-"/>
    <numFmt numFmtId="170" formatCode="\$#,##0.00;&quot;($&quot;#,##0.00\);\-"/>
    <numFmt numFmtId="171" formatCode="#,##0;\(#,##0\);\-"/>
    <numFmt numFmtId="172" formatCode="\$#,##0;&quot;($&quot;#,##0\);\-"/>
    <numFmt numFmtId="173" formatCode="\$#,##0.0;&quot;($&quot;#,##0.0\);\-"/>
    <numFmt numFmtId="174" formatCode="0.00\x;\(0.00&quot;x)&quot;;\-"/>
    <numFmt numFmtId="175" formatCode="0.00\x"/>
    <numFmt numFmtId="176" formatCode="\M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55555"/>
      <sz val="9"/>
    </font>
    <font>
      <name val="Arial"/>
      <charset val="1"/>
      <family val="0"/>
      <b val="1"/>
      <color rgb="FFFFFFFF"/>
      <sz val="10"/>
    </font>
    <font>
      <name val="Arial"/>
      <charset val="1"/>
      <family val="0"/>
      <color rgb="FF000000"/>
      <sz val="10"/>
    </font>
    <font>
      <name val="Arial"/>
      <charset val="1"/>
      <family val="0"/>
      <color rgb="FF008000"/>
      <sz val="10"/>
    </font>
    <font>
      <name val="Arial"/>
      <charset val="1"/>
      <family val="0"/>
      <b val="1"/>
      <sz val="10"/>
    </font>
    <font>
      <name val="Arial"/>
      <charset val="1"/>
      <family val="0"/>
      <color rgb="FF0000FF"/>
      <sz val="10"/>
    </font>
  </fonts>
  <fills count="6">
    <fill>
      <patternFill/>
    </fill>
    <fill>
      <patternFill patternType="gray125"/>
    </fill>
    <fill>
      <patternFill patternType="solid">
        <fgColor rgb="FF1F3A5F"/>
        <bgColor rgb="FF333333"/>
      </patternFill>
    </fill>
    <fill>
      <patternFill patternType="solid">
        <fgColor rgb="FFE8EEF5"/>
        <bgColor rgb="FFF3F6FA"/>
      </patternFill>
    </fill>
    <fill>
      <patternFill patternType="solid">
        <fgColor rgb="FFFFFF00"/>
        <bgColor rgb="FFFFFF00"/>
      </patternFill>
    </fill>
    <fill>
      <patternFill patternType="solid">
        <fgColor rgb="FFF3F6FA"/>
        <bgColor rgb="FFE8EEF5"/>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0" applyAlignment="1" pivotButton="0" quotePrefix="0" xfId="0">
      <alignment horizontal="general" vertical="bottom"/>
    </xf>
    <xf numFmtId="0" fontId="8" fillId="0" borderId="0" applyAlignment="1" pivotButton="0" quotePrefix="0" xfId="0">
      <alignment horizontal="right" vertical="bottom"/>
    </xf>
    <xf numFmtId="164" fontId="8" fillId="0" borderId="0" applyAlignment="1" pivotButton="0" quotePrefix="0" xfId="0">
      <alignment horizontal="right" vertical="bottom"/>
    </xf>
    <xf numFmtId="165" fontId="8" fillId="0" borderId="0" applyAlignment="1" pivotButton="0" quotePrefix="0" xfId="0">
      <alignment horizontal="right" vertical="bottom"/>
    </xf>
    <xf numFmtId="166" fontId="8" fillId="0" borderId="0" applyAlignment="1" pivotButton="0" quotePrefix="0" xfId="0">
      <alignment horizontal="right" vertical="bottom"/>
    </xf>
    <xf numFmtId="167" fontId="8" fillId="0" borderId="0" applyAlignment="1" pivotButton="0" quotePrefix="0" xfId="0">
      <alignment horizontal="right" vertical="bottom"/>
    </xf>
    <xf numFmtId="168" fontId="8" fillId="0" borderId="0" applyAlignment="1" pivotButton="0" quotePrefix="0" xfId="0">
      <alignment horizontal="right" vertical="bottom"/>
    </xf>
    <xf numFmtId="169" fontId="8" fillId="0" borderId="0" applyAlignment="1" pivotButton="0" quotePrefix="0" xfId="0">
      <alignment horizontal="right" vertical="bottom"/>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0" fillId="3" borderId="0" applyAlignment="1" pivotButton="0" quotePrefix="0" xfId="0">
      <alignment horizontal="general" vertical="bottom"/>
    </xf>
    <xf numFmtId="164" fontId="10" fillId="0" borderId="0" applyAlignment="1" pivotButton="0" quotePrefix="0" xfId="0">
      <alignment horizontal="general" vertical="bottom"/>
    </xf>
    <xf numFmtId="0" fontId="7" fillId="0" borderId="0" applyAlignment="1" pivotButton="0" quotePrefix="0" xfId="0">
      <alignment horizontal="general" vertical="top" wrapText="1"/>
    </xf>
    <xf numFmtId="170" fontId="10" fillId="0" borderId="0" applyAlignment="1" pivotButton="0" quotePrefix="0" xfId="0">
      <alignment horizontal="general" vertical="bottom"/>
    </xf>
    <xf numFmtId="171" fontId="10" fillId="0" borderId="0" applyAlignment="1" pivotButton="0" quotePrefix="0" xfId="0">
      <alignment horizontal="general" vertical="bottom"/>
    </xf>
    <xf numFmtId="172" fontId="10" fillId="0" borderId="0" applyAlignment="1" pivotButton="0" quotePrefix="0" xfId="0">
      <alignment horizontal="general" vertical="bottom"/>
    </xf>
    <xf numFmtId="0" fontId="10" fillId="4" borderId="0" applyAlignment="1" pivotButton="0" quotePrefix="0" xfId="0">
      <alignment horizontal="general" vertical="bottom"/>
    </xf>
    <xf numFmtId="170" fontId="7" fillId="0" borderId="0" applyAlignment="1" pivotButton="0" quotePrefix="0" xfId="0">
      <alignment horizontal="general" vertical="bottom"/>
    </xf>
    <xf numFmtId="171" fontId="7" fillId="0" borderId="0" applyAlignment="1" pivotButton="0" quotePrefix="0" xfId="0">
      <alignment horizontal="general" vertical="bottom"/>
    </xf>
    <xf numFmtId="169" fontId="10" fillId="0" borderId="0" applyAlignment="1" pivotButton="0" quotePrefix="0" xfId="0">
      <alignment horizontal="general" vertical="bottom"/>
    </xf>
    <xf numFmtId="169" fontId="10" fillId="4" borderId="0" applyAlignment="1" pivotButton="0" quotePrefix="0" xfId="0">
      <alignment horizontal="general" vertical="bottom"/>
    </xf>
    <xf numFmtId="166" fontId="10" fillId="4" borderId="0" applyAlignment="1" pivotButton="0" quotePrefix="0" xfId="0">
      <alignment horizontal="general" vertical="bottom"/>
    </xf>
    <xf numFmtId="168" fontId="10" fillId="0" borderId="0" applyAlignment="1" pivotButton="0" quotePrefix="0" xfId="0">
      <alignment horizontal="general" vertical="bottom"/>
    </xf>
    <xf numFmtId="172" fontId="10" fillId="4" borderId="0" applyAlignment="1" pivotButton="0" quotePrefix="0" xfId="0">
      <alignment horizontal="general" vertical="bottom"/>
    </xf>
    <xf numFmtId="171" fontId="8" fillId="0" borderId="0" applyAlignment="1" pivotButton="0" quotePrefix="0" xfId="0">
      <alignment horizontal="general" vertical="bottom"/>
    </xf>
    <xf numFmtId="173" fontId="8" fillId="0" borderId="0" applyAlignment="1" pivotButton="0" quotePrefix="0" xfId="0">
      <alignment horizontal="general" vertical="bottom"/>
    </xf>
    <xf numFmtId="173" fontId="10" fillId="0" borderId="0" applyAlignment="1" pivotButton="0" quotePrefix="0" xfId="0">
      <alignment horizontal="general" vertical="bottom"/>
    </xf>
    <xf numFmtId="171" fontId="10" fillId="4" borderId="0" applyAlignment="1" pivotButton="0" quotePrefix="0" xfId="0">
      <alignment horizontal="general" vertical="bottom"/>
    </xf>
    <xf numFmtId="173" fontId="7" fillId="0" borderId="0" applyAlignment="1" pivotButton="0" quotePrefix="0" xfId="0">
      <alignment horizontal="general" vertical="bottom"/>
    </xf>
    <xf numFmtId="166" fontId="7" fillId="0" borderId="0" applyAlignment="1" pivotButton="0" quotePrefix="0" xfId="0">
      <alignment horizontal="general" vertical="bottom"/>
    </xf>
    <xf numFmtId="0" fontId="10" fillId="5" borderId="0" applyAlignment="1" pivotButton="0" quotePrefix="0" xfId="0">
      <alignment horizontal="general" vertical="bottom"/>
    </xf>
    <xf numFmtId="171" fontId="10" fillId="5" borderId="0" applyAlignment="1" pivotButton="0" quotePrefix="0" xfId="0">
      <alignment horizontal="general" vertical="bottom"/>
    </xf>
    <xf numFmtId="172" fontId="10" fillId="5" borderId="0" applyAlignment="1" pivotButton="0" quotePrefix="0" xfId="0">
      <alignment horizontal="general" vertical="bottom"/>
    </xf>
    <xf numFmtId="174" fontId="7" fillId="0" borderId="0" applyAlignment="1" pivotButton="0" quotePrefix="0" xfId="0">
      <alignment horizontal="general" vertical="bottom"/>
    </xf>
    <xf numFmtId="172" fontId="7" fillId="0" borderId="0" applyAlignment="1" pivotButton="0" quotePrefix="0" xfId="0">
      <alignment horizontal="general" vertical="bottom"/>
    </xf>
    <xf numFmtId="171" fontId="9" fillId="0" borderId="0" applyAlignment="1" pivotButton="0" quotePrefix="0" xfId="0">
      <alignment horizontal="general" vertical="bottom"/>
    </xf>
    <xf numFmtId="172" fontId="9" fillId="0" borderId="0" applyAlignment="1" pivotButton="0" quotePrefix="0" xfId="0">
      <alignment horizontal="general" vertical="bottom"/>
    </xf>
    <xf numFmtId="1" fontId="10" fillId="5" borderId="0" applyAlignment="1" pivotButton="0" quotePrefix="0" xfId="0">
      <alignment horizontal="general" vertical="bottom"/>
    </xf>
    <xf numFmtId="175" fontId="10" fillId="4" borderId="0" applyAlignment="1" pivotButton="0" quotePrefix="0" xfId="0">
      <alignment horizontal="general" vertical="bottom"/>
    </xf>
    <xf numFmtId="11" fontId="7" fillId="0" borderId="0" applyAlignment="1" pivotButton="0" quotePrefix="0" xfId="0">
      <alignment horizontal="general" vertical="bottom"/>
    </xf>
    <xf numFmtId="164" fontId="8" fillId="0" borderId="0" applyAlignment="1" pivotButton="0" quotePrefix="0" xfId="0">
      <alignment horizontal="general" vertical="bottom"/>
    </xf>
    <xf numFmtId="164" fontId="7" fillId="0" borderId="0" applyAlignment="1" pivotButton="0" quotePrefix="0" xfId="0">
      <alignment horizontal="general" vertical="bottom"/>
    </xf>
    <xf numFmtId="169" fontId="7" fillId="0" borderId="0" applyAlignment="1" pivotButton="0" quotePrefix="0" xfId="0">
      <alignment horizontal="general" vertical="bottom"/>
    </xf>
    <xf numFmtId="165" fontId="7" fillId="0" borderId="0" applyAlignment="1" pivotButton="0" quotePrefix="0" xfId="0">
      <alignment horizontal="general" vertical="bottom"/>
    </xf>
    <xf numFmtId="167" fontId="7" fillId="0" borderId="0" applyAlignment="1" pivotButton="0" quotePrefix="0" xfId="0">
      <alignment horizontal="general" vertical="bottom"/>
    </xf>
    <xf numFmtId="0" fontId="8" fillId="0" borderId="0" applyAlignment="1" pivotButton="0" quotePrefix="0" xfId="0">
      <alignment horizontal="general" vertical="bottom"/>
    </xf>
    <xf numFmtId="168" fontId="7" fillId="0" borderId="0" applyAlignment="1" pivotButton="0" quotePrefix="0" xfId="0">
      <alignment horizontal="general" vertical="bottom"/>
    </xf>
    <xf numFmtId="173" fontId="9" fillId="0" borderId="0" applyAlignment="1" pivotButton="0" quotePrefix="0" xfId="0">
      <alignment horizontal="general" vertical="bottom"/>
    </xf>
    <xf numFmtId="4" fontId="7" fillId="0" borderId="0" applyAlignment="1" pivotButton="0" quotePrefix="0" xfId="0">
      <alignment horizontal="general" vertical="bottom"/>
    </xf>
    <xf numFmtId="176" fontId="9" fillId="0" borderId="0" applyAlignment="1" pivotButton="0" quotePrefix="0" xfId="0">
      <alignment horizontal="general" vertical="bottom"/>
    </xf>
    <xf numFmtId="1"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0" applyAlignment="1" pivotButton="0" quotePrefix="0" xfId="0">
      <alignment horizontal="general" vertical="bottom"/>
    </xf>
    <xf numFmtId="0" fontId="8" fillId="0" borderId="0" applyAlignment="1" pivotButton="0" quotePrefix="0" xfId="0">
      <alignment horizontal="right" vertical="bottom"/>
    </xf>
    <xf numFmtId="164" fontId="8" fillId="0" borderId="0" applyAlignment="1" pivotButton="0" quotePrefix="0" xfId="0">
      <alignment horizontal="right" vertical="bottom"/>
    </xf>
    <xf numFmtId="165" fontId="8" fillId="0" borderId="0" applyAlignment="1" pivotButton="0" quotePrefix="0" xfId="0">
      <alignment horizontal="right" vertical="bottom"/>
    </xf>
    <xf numFmtId="166" fontId="8" fillId="0" borderId="0" applyAlignment="1" pivotButton="0" quotePrefix="0" xfId="0">
      <alignment horizontal="right" vertical="bottom"/>
    </xf>
    <xf numFmtId="167" fontId="8" fillId="0" borderId="0" applyAlignment="1" pivotButton="0" quotePrefix="0" xfId="0">
      <alignment horizontal="right" vertical="bottom"/>
    </xf>
    <xf numFmtId="168" fontId="8" fillId="0" borderId="0" applyAlignment="1" pivotButton="0" quotePrefix="0" xfId="0">
      <alignment horizontal="right" vertical="bottom"/>
    </xf>
    <xf numFmtId="169" fontId="8" fillId="0" borderId="0" applyAlignment="1" pivotButton="0" quotePrefix="0" xfId="0">
      <alignment horizontal="right" vertical="bottom"/>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0" fillId="3" borderId="0" applyAlignment="1" pivotButton="0" quotePrefix="0" xfId="0">
      <alignment horizontal="general" vertical="bottom"/>
    </xf>
    <xf numFmtId="164" fontId="10" fillId="0" borderId="0" applyAlignment="1" pivotButton="0" quotePrefix="0" xfId="0">
      <alignment horizontal="general" vertical="bottom"/>
    </xf>
    <xf numFmtId="0" fontId="7" fillId="0" borderId="0" applyAlignment="1" pivotButton="0" quotePrefix="0" xfId="0">
      <alignment horizontal="general" vertical="top" wrapText="1"/>
    </xf>
    <xf numFmtId="170" fontId="10" fillId="0" borderId="0" applyAlignment="1" pivotButton="0" quotePrefix="0" xfId="0">
      <alignment horizontal="general" vertical="bottom"/>
    </xf>
    <xf numFmtId="171" fontId="10" fillId="0" borderId="0" applyAlignment="1" pivotButton="0" quotePrefix="0" xfId="0">
      <alignment horizontal="general" vertical="bottom"/>
    </xf>
    <xf numFmtId="172" fontId="10" fillId="0" borderId="0" applyAlignment="1" pivotButton="0" quotePrefix="0" xfId="0">
      <alignment horizontal="general" vertical="bottom"/>
    </xf>
    <xf numFmtId="0" fontId="10" fillId="4" borderId="0" applyAlignment="1" pivotButton="0" quotePrefix="0" xfId="0">
      <alignment horizontal="general" vertical="bottom"/>
    </xf>
    <xf numFmtId="170" fontId="7" fillId="0" borderId="0" applyAlignment="1" pivotButton="0" quotePrefix="0" xfId="0">
      <alignment horizontal="general" vertical="bottom"/>
    </xf>
    <xf numFmtId="171" fontId="7" fillId="0" borderId="0" applyAlignment="1" pivotButton="0" quotePrefix="0" xfId="0">
      <alignment horizontal="general" vertical="bottom"/>
    </xf>
    <xf numFmtId="169" fontId="10" fillId="0" borderId="0" applyAlignment="1" pivotButton="0" quotePrefix="0" xfId="0">
      <alignment horizontal="general" vertical="bottom"/>
    </xf>
    <xf numFmtId="169" fontId="10" fillId="4" borderId="0" applyAlignment="1" pivotButton="0" quotePrefix="0" xfId="0">
      <alignment horizontal="general" vertical="bottom"/>
    </xf>
    <xf numFmtId="166" fontId="10" fillId="4" borderId="0" applyAlignment="1" pivotButton="0" quotePrefix="0" xfId="0">
      <alignment horizontal="general" vertical="bottom"/>
    </xf>
    <xf numFmtId="168" fontId="10" fillId="0" borderId="0" applyAlignment="1" pivotButton="0" quotePrefix="0" xfId="0">
      <alignment horizontal="general" vertical="bottom"/>
    </xf>
    <xf numFmtId="172" fontId="10" fillId="4" borderId="0" applyAlignment="1" pivotButton="0" quotePrefix="0" xfId="0">
      <alignment horizontal="general" vertical="bottom"/>
    </xf>
    <xf numFmtId="171" fontId="8" fillId="0" borderId="0" applyAlignment="1" pivotButton="0" quotePrefix="0" xfId="0">
      <alignment horizontal="general" vertical="bottom"/>
    </xf>
    <xf numFmtId="173" fontId="8" fillId="0" borderId="0" applyAlignment="1" pivotButton="0" quotePrefix="0" xfId="0">
      <alignment horizontal="general" vertical="bottom"/>
    </xf>
    <xf numFmtId="173" fontId="10" fillId="0" borderId="0" applyAlignment="1" pivotButton="0" quotePrefix="0" xfId="0">
      <alignment horizontal="general" vertical="bottom"/>
    </xf>
    <xf numFmtId="171" fontId="10" fillId="4" borderId="0" applyAlignment="1" pivotButton="0" quotePrefix="0" xfId="0">
      <alignment horizontal="general" vertical="bottom"/>
    </xf>
    <xf numFmtId="173" fontId="7" fillId="0" borderId="0" applyAlignment="1" pivotButton="0" quotePrefix="0" xfId="0">
      <alignment horizontal="general" vertical="bottom"/>
    </xf>
    <xf numFmtId="166" fontId="7" fillId="0" borderId="0" applyAlignment="1" pivotButton="0" quotePrefix="0" xfId="0">
      <alignment horizontal="general" vertical="bottom"/>
    </xf>
    <xf numFmtId="0" fontId="10" fillId="5" borderId="0" applyAlignment="1" pivotButton="0" quotePrefix="0" xfId="0">
      <alignment horizontal="general" vertical="bottom"/>
    </xf>
    <xf numFmtId="171" fontId="10" fillId="5" borderId="0" applyAlignment="1" pivotButton="0" quotePrefix="0" xfId="0">
      <alignment horizontal="general" vertical="bottom"/>
    </xf>
    <xf numFmtId="172" fontId="10" fillId="5" borderId="0" applyAlignment="1" pivotButton="0" quotePrefix="0" xfId="0">
      <alignment horizontal="general" vertical="bottom"/>
    </xf>
    <xf numFmtId="174" fontId="7" fillId="0" borderId="0" applyAlignment="1" pivotButton="0" quotePrefix="0" xfId="0">
      <alignment horizontal="general" vertical="bottom"/>
    </xf>
    <xf numFmtId="172" fontId="7" fillId="0" borderId="0" applyAlignment="1" pivotButton="0" quotePrefix="0" xfId="0">
      <alignment horizontal="general" vertical="bottom"/>
    </xf>
    <xf numFmtId="171" fontId="9" fillId="0" borderId="0" applyAlignment="1" pivotButton="0" quotePrefix="0" xfId="0">
      <alignment horizontal="general" vertical="bottom"/>
    </xf>
    <xf numFmtId="172" fontId="9" fillId="0" borderId="0" applyAlignment="1" pivotButton="0" quotePrefix="0" xfId="0">
      <alignment horizontal="general" vertical="bottom"/>
    </xf>
    <xf numFmtId="1" fontId="10" fillId="5" borderId="0" applyAlignment="1" pivotButton="0" quotePrefix="0" xfId="0">
      <alignment horizontal="general" vertical="bottom"/>
    </xf>
    <xf numFmtId="175" fontId="10" fillId="4" borderId="0" applyAlignment="1" pivotButton="0" quotePrefix="0" xfId="0">
      <alignment horizontal="general" vertical="bottom"/>
    </xf>
    <xf numFmtId="11" fontId="7" fillId="0" borderId="0" applyAlignment="1" pivotButton="0" quotePrefix="0" xfId="0">
      <alignment horizontal="general" vertical="bottom"/>
    </xf>
    <xf numFmtId="164" fontId="8" fillId="0" borderId="0" applyAlignment="1" pivotButton="0" quotePrefix="0" xfId="0">
      <alignment horizontal="general" vertical="bottom"/>
    </xf>
    <xf numFmtId="164" fontId="7" fillId="0" borderId="0" applyAlignment="1" pivotButton="0" quotePrefix="0" xfId="0">
      <alignment horizontal="general" vertical="bottom"/>
    </xf>
    <xf numFmtId="169" fontId="7" fillId="0" borderId="0" applyAlignment="1" pivotButton="0" quotePrefix="0" xfId="0">
      <alignment horizontal="general" vertical="bottom"/>
    </xf>
    <xf numFmtId="165" fontId="7" fillId="0" borderId="0" applyAlignment="1" pivotButton="0" quotePrefix="0" xfId="0">
      <alignment horizontal="general" vertical="bottom"/>
    </xf>
    <xf numFmtId="167" fontId="7" fillId="0" borderId="0" applyAlignment="1" pivotButton="0" quotePrefix="0" xfId="0">
      <alignment horizontal="general" vertical="bottom"/>
    </xf>
    <xf numFmtId="0" fontId="8" fillId="0" borderId="0" applyAlignment="1" pivotButton="0" quotePrefix="0" xfId="0">
      <alignment horizontal="general" vertical="bottom"/>
    </xf>
    <xf numFmtId="168" fontId="7" fillId="0" borderId="0" applyAlignment="1" pivotButton="0" quotePrefix="0" xfId="0">
      <alignment horizontal="general" vertical="bottom"/>
    </xf>
    <xf numFmtId="173" fontId="9" fillId="0" borderId="0" applyAlignment="1" pivotButton="0" quotePrefix="0" xfId="0">
      <alignment horizontal="general" vertical="bottom"/>
    </xf>
    <xf numFmtId="4" fontId="7" fillId="0" borderId="0" applyAlignment="1" pivotButton="0" quotePrefix="0" xfId="0">
      <alignment horizontal="general" vertical="bottom"/>
    </xf>
    <xf numFmtId="176" fontId="9" fillId="0" borderId="0" applyAlignment="1" pivotButton="0" quotePrefix="0" xfId="0">
      <alignment horizontal="general" vertical="bottom"/>
    </xf>
    <xf numFmtId="1"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6FA"/>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2" customWidth="1" style="55" min="1" max="1"/>
    <col width="44" customWidth="1" style="55" min="2" max="2"/>
    <col width="28" customWidth="1" style="55" min="3" max="3"/>
  </cols>
  <sheetData>
    <row r="1" ht="17.35" customHeight="1" s="56">
      <c r="A1" s="57" t="inlineStr">
        <is>
          <t>TypeSafe / Jev: outside-in unit economics</t>
        </is>
      </c>
    </row>
    <row r="2" ht="15" customHeight="1" s="56">
      <c r="A2" s="58" t="inlineStr">
        <is>
          <t>Built from public information only (as of Sep 29, 2026). Every estimate is labeled on the Assumptions tab. Not TypeSafe data.</t>
        </is>
      </c>
    </row>
    <row r="4" ht="15" customHeight="1" s="56">
      <c r="A4" s="59" t="inlineStr">
        <is>
          <t>Key output (current selections)</t>
        </is>
      </c>
      <c r="B4" s="59" t="inlineStr">
        <is>
          <t>Value</t>
        </is>
      </c>
      <c r="C4" s="59" t="inlineStr">
        <is>
          <t>Where it comes from</t>
        </is>
      </c>
    </row>
    <row r="5" ht="15" customHeight="1" s="56">
      <c r="A5" s="60" t="inlineStr">
        <is>
          <t>Serving setup</t>
        </is>
      </c>
      <c r="B5" s="61">
        <f>UnitEcon!$B$6</f>
        <v/>
      </c>
      <c r="C5" s="60" t="inlineStr">
        <is>
          <t>Assumptions dropdowns</t>
        </is>
      </c>
    </row>
    <row r="6" ht="15" customHeight="1" s="56">
      <c r="A6" s="60" t="inlineStr">
        <is>
          <t>List price ($ / M input tokens)</t>
        </is>
      </c>
      <c r="B6" s="62">
        <f>Assumptions!$B$6</f>
        <v/>
      </c>
      <c r="C6" s="60" t="inlineStr">
        <is>
          <t>Confirmed, launch blog</t>
        </is>
      </c>
    </row>
    <row r="7" ht="15" customHeight="1" s="56">
      <c r="A7" s="60" t="inlineStr">
        <is>
          <t>Est. cost to serve ($ / M tokens)</t>
        </is>
      </c>
      <c r="B7" s="62">
        <f>UnitEcon!$B$12</f>
        <v/>
      </c>
      <c r="C7" s="60" t="inlineStr">
        <is>
          <t>UnitEcon</t>
        </is>
      </c>
    </row>
    <row r="8" ht="15" customHeight="1" s="56">
      <c r="A8" s="60" t="inlineStr">
        <is>
          <t>Est. gross margin, BF16</t>
        </is>
      </c>
      <c r="B8" s="63">
        <f>UnitEcon!$B$19</f>
        <v/>
      </c>
      <c r="C8" s="60" t="inlineStr">
        <is>
          <t>UnitEcon</t>
        </is>
      </c>
    </row>
    <row r="9" ht="15" customHeight="1" s="56">
      <c r="A9" s="60" t="inlineStr">
        <is>
          <t>Est. gross margin, FP8</t>
        </is>
      </c>
      <c r="B9" s="63">
        <f>UnitEcon!$B$20</f>
        <v/>
      </c>
      <c r="C9" s="60" t="inlineStr">
        <is>
          <t>UnitEcon</t>
        </is>
      </c>
    </row>
    <row r="10" ht="15" customHeight="1" s="56">
      <c r="A10" s="60" t="inlineStr">
        <is>
          <t>Largest model that breaks even (B params, selected precision)</t>
        </is>
      </c>
      <c r="B10" s="64">
        <f>UnitEcon!$B$23</f>
        <v/>
      </c>
      <c r="C10" s="60" t="inlineStr">
        <is>
          <t>UnitEcon</t>
        </is>
      </c>
    </row>
    <row r="11" ht="15" customHeight="1" s="56">
      <c r="A11" s="60" t="inlineStr">
        <is>
          <t>Tokens per decision: Doom demo vs. sample finance workloads</t>
        </is>
      </c>
      <c r="B11" s="61">
        <f>TEXT(UnitEcon!$B$26,"#,##0")&amp;" vs. "&amp;TEXT(UnitEcon!$B$27,"#,##0")</f>
        <v/>
      </c>
      <c r="C11" s="60" t="inlineStr">
        <is>
          <t>UnitEcon / LiveTest</t>
        </is>
      </c>
    </row>
    <row r="12" ht="15" customHeight="1" s="56">
      <c r="A12" s="60" t="inlineStr">
        <is>
          <t>Jev price per decision ($)</t>
        </is>
      </c>
      <c r="B12" s="65">
        <f>UnitEcon!$B$29</f>
        <v/>
      </c>
      <c r="C12" s="60" t="inlineStr">
        <is>
          <t>UnitEcon</t>
        </is>
      </c>
    </row>
    <row r="13" ht="15" customHeight="1" s="56">
      <c r="A13" s="60" t="inlineStr">
        <is>
          <t>Customer savings vs. fast LLM</t>
        </is>
      </c>
      <c r="B13" s="66">
        <f>UnitEcon!$B$36</f>
        <v/>
      </c>
      <c r="C13" s="60" t="inlineStr">
        <is>
          <t>UnitEcon</t>
        </is>
      </c>
    </row>
    <row r="14" ht="15" customHeight="1" s="56">
      <c r="A14" s="60" t="inlineStr">
        <is>
          <t>Customer savings vs. reasoning LLM</t>
        </is>
      </c>
      <c r="B14" s="66">
        <f>UnitEcon!$B$39</f>
        <v/>
      </c>
      <c r="C14" s="60" t="inlineStr">
        <is>
          <t>UnitEcon</t>
        </is>
      </c>
    </row>
    <row r="15" ht="15" customHeight="1" s="56">
      <c r="A15" s="60" t="inlineStr">
        <is>
          <t>Utilization needed for reserved GPUs to beat on-demand</t>
        </is>
      </c>
      <c r="B15" s="67">
        <f>UnitEcon!$B$41</f>
        <v/>
      </c>
      <c r="C15" s="60" t="inlineStr">
        <is>
          <t>UnitEcon</t>
        </is>
      </c>
    </row>
    <row r="16" ht="15" customHeight="1" s="56">
      <c r="A16" s="60" t="inlineStr">
        <is>
          <t>Runway, months: low / base / high cash</t>
        </is>
      </c>
      <c r="B16" s="61">
        <f>Runway!B33&amp;" / "&amp;Runway!B34&amp;" / "&amp;Runway!B35</f>
        <v/>
      </c>
      <c r="C16" s="60" t="inlineStr">
        <is>
          <t>Runway (24 = at least 24)</t>
        </is>
      </c>
    </row>
    <row r="17" ht="15" customHeight="1" s="56">
      <c r="A17" s="60" t="inlineStr">
        <is>
          <t>Hiring plan affordable?</t>
        </is>
      </c>
      <c r="B17" s="61">
        <f>Hiring!B13</f>
        <v/>
      </c>
      <c r="C17" s="60" t="inlineStr">
        <is>
          <t>Hiring</t>
        </is>
      </c>
    </row>
    <row r="20" ht="15" customHeight="1" s="56">
      <c r="A20" s="68" t="inlineStr">
        <is>
          <t>Tabs</t>
        </is>
      </c>
    </row>
    <row r="21" ht="15" customHeight="1" s="56">
      <c r="A21" s="60" t="inlineStr">
        <is>
          <t>Assumptions: every input with confidence and reasoning. Dropdowns switch GPU, precision, workload and comparison LLM.</t>
        </is>
      </c>
    </row>
    <row r="22" ht="15" customHeight="1" s="56">
      <c r="A22" s="60" t="inlineStr">
        <is>
          <t>Hiring: current roster and a hiring plan with start months; checks runway against an 18-month target.</t>
        </is>
      </c>
    </row>
    <row r="23" ht="15" customHeight="1" s="56">
      <c r="A23" s="60" t="inlineStr">
        <is>
          <t>UnitEcon: cost per token and per decision, BF16 vs FP8 margin, break-even model size, LLM comparison.</t>
        </is>
      </c>
    </row>
    <row r="24" ht="15" customHeight="1" s="56">
      <c r="A24" s="60" t="inlineStr">
        <is>
          <t>Sensitivity: margin across model sizes, utilization, GPU types and GPU prices.</t>
        </is>
      </c>
    </row>
    <row r="25" ht="15" customHeight="1" s="56">
      <c r="A25" s="60" t="inlineStr">
        <is>
          <t>Scale: the Jevons test, volume needed to cover fixed costs at different prices.</t>
        </is>
      </c>
    </row>
    <row r="26" ht="15" customHeight="1" s="56">
      <c r="A26" s="60" t="inlineStr">
        <is>
          <t>Runway: 24-month monthly cash build, three cash cases, and the runway cost of the hiring plan.</t>
        </is>
      </c>
    </row>
    <row r="27" ht="15" customHeight="1" s="56">
      <c r="A27" s="60" t="inlineStr">
        <is>
          <t>LiveTest: sample workload token counts, plus a paste area for your live API test results.</t>
        </is>
      </c>
    </row>
    <row r="28" ht="15" customHeight="1" s="56">
      <c r="A28" s="60" t="inlineStr">
        <is>
          <t>Prices: GPU and LLM price and spec tables behind the dropdowns.</t>
        </is>
      </c>
    </row>
    <row r="29" ht="15" customHeight="1" s="56">
      <c r="A29" s="60" t="inlineStr">
        <is>
          <t>Sources: where each public data point came from.</t>
        </is>
      </c>
    </row>
    <row r="31" ht="15" customHeight="1" s="56">
      <c r="A31" s="58" t="inlineStr">
        <is>
          <t>Color key: blue = input, black = formula, green = link to another tab, yellow fill = dropdown or assumption that moves the answer most, grey fill = input area.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51"/>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0" customWidth="1" style="55" min="1" max="1"/>
    <col width="18" customWidth="1" style="55" min="2" max="2"/>
    <col width="16" customWidth="1" style="55" min="3" max="3"/>
    <col width="20" customWidth="1" style="55" min="4" max="4"/>
    <col width="100" customWidth="1" style="55" min="5" max="5"/>
  </cols>
  <sheetData>
    <row r="1" ht="17.35" customHeight="1" s="56">
      <c r="A1" s="57" t="inlineStr">
        <is>
          <t>Assumptions register</t>
        </is>
      </c>
    </row>
    <row r="2" ht="15" customHeight="1" s="56">
      <c r="A2" s="58" t="inlineStr">
        <is>
          <t>Blue = input. Dropdowns in blue with yellow fill drive the lookups below them. Black = looked up or derived. Confidence: Confirmed / Reported / Estimate.</t>
        </is>
      </c>
    </row>
    <row r="4" ht="15" customHeight="1" s="56">
      <c r="A4" s="59" t="inlineStr">
        <is>
          <t>Assumption</t>
        </is>
      </c>
      <c r="B4" s="59" t="inlineStr">
        <is>
          <t>Value</t>
        </is>
      </c>
      <c r="C4" s="59" t="inlineStr">
        <is>
          <t>Unit</t>
        </is>
      </c>
      <c r="D4" s="59" t="inlineStr">
        <is>
          <t>Confidence</t>
        </is>
      </c>
      <c r="E4" s="59" t="inlineStr">
        <is>
          <t>Reasoning / source</t>
        </is>
      </c>
    </row>
    <row r="5" ht="15" customHeight="1" s="56">
      <c r="A5" s="69" t="inlineStr">
        <is>
          <t>A. Pricing and published data points</t>
        </is>
      </c>
      <c r="B5" s="70" t="n"/>
      <c r="C5" s="70" t="n"/>
      <c r="D5" s="70" t="n"/>
      <c r="E5" s="70" t="n"/>
    </row>
    <row r="6" ht="23.85" customHeight="1" s="56">
      <c r="A6" s="60" t="inlineStr">
        <is>
          <t>Jev list price, input tokens</t>
        </is>
      </c>
      <c r="B6" s="71" t="n">
        <v>0.042</v>
      </c>
      <c r="C6" s="60" t="inlineStr">
        <is>
          <t>$ / M tokens</t>
        </is>
      </c>
      <c r="D6" s="60" t="inlineStr">
        <is>
          <t>Confirmed</t>
        </is>
      </c>
      <c r="E6" s="72" t="inlineStr">
        <is>
          <t>TypeSafe launch blog, Sep 15 2026 ($42 per billion tokens). Some third-party sites list $0.25-$0.42; the official figure is $0.042.</t>
        </is>
      </c>
    </row>
    <row r="7" ht="15" customHeight="1" s="56">
      <c r="A7" s="60" t="inlineStr">
        <is>
          <t>Jev list price, output tokens</t>
        </is>
      </c>
      <c r="B7" s="71" t="n">
        <v>0</v>
      </c>
      <c r="C7" s="60" t="inlineStr">
        <is>
          <t>$ / M tokens</t>
        </is>
      </c>
      <c r="D7" s="60" t="inlineStr">
        <is>
          <t>Confirmed</t>
        </is>
      </c>
      <c r="E7" s="72" t="inlineStr">
        <is>
          <t>TypeSafe launch blog: output is free. Revenue depends entirely on input volume.</t>
        </is>
      </c>
    </row>
    <row r="8" ht="15" customHeight="1" s="56">
      <c r="A8" s="60" t="inlineStr">
        <is>
          <t>Doom demo: cost per hour</t>
        </is>
      </c>
      <c r="B8" s="73" t="n">
        <v>7</v>
      </c>
      <c r="C8" s="60" t="inlineStr">
        <is>
          <t>$ / hour</t>
        </is>
      </c>
      <c r="D8" s="60" t="inlineStr">
        <is>
          <t>Confirmed (approx.)</t>
        </is>
      </c>
      <c r="E8" s="72" t="inlineStr">
        <is>
          <t>Launch blog says ~$7/hour; rounding means the implied tokens per call is +/- 15%.</t>
        </is>
      </c>
    </row>
    <row r="9" ht="15" customHeight="1" s="56">
      <c r="A9" s="60" t="inlineStr">
        <is>
          <t>Doom demo: queries per second</t>
        </is>
      </c>
      <c r="B9" s="74" t="n">
        <v>10</v>
      </c>
      <c r="C9" s="60" t="inlineStr">
        <is>
          <t>queries / sec</t>
        </is>
      </c>
      <c r="D9" s="60" t="inlineStr">
        <is>
          <t>Confirmed</t>
        </is>
      </c>
      <c r="E9" s="72" t="inlineStr">
        <is>
          <t>Launch blog.</t>
        </is>
      </c>
    </row>
    <row r="10" ht="15" customHeight="1" s="56">
      <c r="A10" s="60" t="inlineStr">
        <is>
          <t>Free signup credit</t>
        </is>
      </c>
      <c r="B10" s="75" t="n">
        <v>5</v>
      </c>
      <c r="C10" s="60" t="inlineStr">
        <is>
          <t>$</t>
        </is>
      </c>
      <c r="D10" s="60" t="inlineStr">
        <is>
          <t>Reported</t>
        </is>
      </c>
      <c r="E10" s="72" t="inlineStr">
        <is>
          <t>Firecrawl write-up: signups opened Sep 20 with $5 credit. Verify when you sign up.</t>
        </is>
      </c>
    </row>
    <row r="11" ht="15" customHeight="1" s="56">
      <c r="A11" s="69" t="inlineStr">
        <is>
          <t>B. Serving compute (none of this is disclosed by TypeSafe)</t>
        </is>
      </c>
      <c r="B11" s="70" t="n"/>
      <c r="C11" s="70" t="n"/>
      <c r="D11" s="70" t="n"/>
      <c r="E11" s="70" t="n"/>
    </row>
    <row r="12" ht="23.85" customHeight="1" s="56">
      <c r="A12" s="60" t="inlineStr">
        <is>
          <t>Serving GPU</t>
        </is>
      </c>
      <c r="B12" s="76" t="inlineStr">
        <is>
          <t>H100 SXM</t>
        </is>
      </c>
      <c r="C12" s="60" t="inlineStr">
        <is>
          <t>dropdown</t>
        </is>
      </c>
      <c r="D12" s="60" t="inlineStr">
        <is>
          <t>Estimate</t>
        </is>
      </c>
      <c r="E12" s="72">
        <f>INDEX(Prices!$I$6:$I$9,MATCH($B$12,Prices!$A$6:$A$9,0))</f>
        <v/>
      </c>
    </row>
    <row r="13" ht="23.85" customHeight="1" s="56">
      <c r="A13" s="60" t="inlineStr">
        <is>
          <t>Serving precision</t>
        </is>
      </c>
      <c r="B13" s="76" t="inlineStr">
        <is>
          <t>BF16</t>
        </is>
      </c>
      <c r="C13" s="60" t="inlineStr">
        <is>
          <t>dropdown</t>
        </is>
      </c>
      <c r="D13" s="60" t="inlineStr">
        <is>
          <t>Estimate</t>
        </is>
      </c>
      <c r="E13" s="72" t="inlineStr">
        <is>
          <t>BF16 is the conservative default. Many inference teams serve in FP8, which doubles throughput per GPU. TypeSafe hasn't said which it uses, and this one switch moves gross margin more than any other input.</t>
        </is>
      </c>
    </row>
    <row r="14" ht="23.85" customHeight="1" s="56">
      <c r="A14" s="60" t="inlineStr">
        <is>
          <t>GPU cost, committed</t>
        </is>
      </c>
      <c r="B14" s="77">
        <f>INDEX(Prices!$B$6:$B$9,MATCH($B$12,Prices!$A$6:$A$9,0))</f>
        <v/>
      </c>
      <c r="C14" s="60" t="inlineStr">
        <is>
          <t>$ / GPU-hour</t>
        </is>
      </c>
      <c r="D14" s="60" t="inlineStr">
        <is>
          <t>Estimate</t>
        </is>
      </c>
      <c r="E14" s="72">
        <f>"Committed rate for "&amp;$B$12&amp;". For reference: cheapest on-demand listing $"&amp;TEXT(INDEX(Prices!$E$6:$E$9,MATCH($B$12,Prices!$A$6:$A$9,0)),"0.00")&amp;"/hr (single GPUs, not reliable at scale). Edit the Prices tab to change."</f>
        <v/>
      </c>
    </row>
    <row r="15" ht="23.85" customHeight="1" s="56">
      <c r="A15" s="60" t="inlineStr">
        <is>
          <t>GPU cost, on-demand (same provider tier)</t>
        </is>
      </c>
      <c r="B15" s="77">
        <f>INDEX(Prices!$C$6:$C$9,MATCH($B$12,Prices!$A$6:$A$9,0))</f>
        <v/>
      </c>
      <c r="C15" s="60" t="inlineStr">
        <is>
          <t>$ / GPU-hour</t>
        </is>
      </c>
      <c r="D15" s="60" t="inlineStr">
        <is>
          <t>Estimate</t>
        </is>
      </c>
      <c r="E15" s="72">
        <f>"Same-tier on-demand for "&amp;$B$12&amp;", so the reserve-vs-rent test compares like with like (market average across all providers incl. hyperscalers: "&amp;INDEX(Prices!$D$6:$D$9,MATCH($B$12,Prices!$A$6:$A$9,0))&amp;")."</f>
        <v/>
      </c>
    </row>
    <row r="16" ht="23.85" customHeight="1" s="56">
      <c r="A16" s="60" t="inlineStr">
        <is>
          <t>GPU peak dense throughput</t>
        </is>
      </c>
      <c r="B16" s="78">
        <f>IF($B$13="FP8",INDEX(Prices!$G$6:$G$9,MATCH($B$12,Prices!$A$6:$A$9,0)),INDEX(Prices!$F$6:$F$9,MATCH($B$12,Prices!$A$6:$A$9,0)))</f>
        <v/>
      </c>
      <c r="C16" s="60" t="inlineStr">
        <is>
          <t>TFLOPS</t>
        </is>
      </c>
      <c r="D16" s="60" t="inlineStr">
        <is>
          <t>Spec</t>
        </is>
      </c>
      <c r="E16" s="72">
        <f>$B$12&amp;" "&amp;$B$13&amp;" dense spec. Datasheets often quote sparse figures, which are 2x higher and not achievable for this workload."</f>
        <v/>
      </c>
    </row>
    <row r="17" ht="23.85" customHeight="1" s="56">
      <c r="A17" s="60" t="inlineStr">
        <is>
          <t>Model FLOPs utilization while serving</t>
        </is>
      </c>
      <c r="B17" s="79" t="n">
        <v>0.4</v>
      </c>
      <c r="C17" s="60" t="inlineStr">
        <is>
          <t>%</t>
        </is>
      </c>
      <c r="D17" s="60" t="inlineStr">
        <is>
          <t>Estimate</t>
        </is>
      </c>
      <c r="E17" s="72" t="inlineStr">
        <is>
          <t>Jev reads input and answers in one pass (no generation loop), the most GPU-efficient kind of work. 40-55% is realistic; 40% is the conservative end.</t>
        </is>
      </c>
    </row>
    <row r="18" ht="23.85" customHeight="1" s="56">
      <c r="A18" s="60" t="inlineStr">
        <is>
          <t>Fleet utilization (paid GPU-hours doing billable work)</t>
        </is>
      </c>
      <c r="B18" s="80" t="n">
        <v>0.6</v>
      </c>
      <c r="C18" s="60" t="inlineStr">
        <is>
          <t>%</t>
        </is>
      </c>
      <c r="D18" s="60" t="inlineStr">
        <is>
          <t>Estimate</t>
        </is>
      </c>
      <c r="E18" s="72" t="inlineStr">
        <is>
          <t>Traffic is bursty and a 70-500 ms latency promise requires spare capacity for peaks. The lever TypeSafe controls most directly.</t>
        </is>
      </c>
    </row>
    <row r="19" ht="35.05" customHeight="1" s="56">
      <c r="A19" s="60" t="inlineStr">
        <is>
          <t>Model size</t>
        </is>
      </c>
      <c r="B19" s="81" t="n">
        <v>8</v>
      </c>
      <c r="C19" s="60" t="inlineStr">
        <is>
          <t>B parameters</t>
        </is>
      </c>
      <c r="D19" s="60" t="inlineStr">
        <is>
          <t>Estimate - UNKNOWN</t>
        </is>
      </c>
      <c r="E19" s="72" t="inlineStr">
        <is>
          <t>Not disclosed; cannot be bounded from latency because a model can be split across GPUs (an 8B model reads 4,600 tokens in ~0.19s on one H100, ~25ms across eight). Use the break-even size on UnitEcon instead of defending this number.</t>
        </is>
      </c>
    </row>
    <row r="20" ht="15" customHeight="1" s="56">
      <c r="A20" s="60" t="inlineStr">
        <is>
          <t>Serving overhead multiplier</t>
        </is>
      </c>
      <c r="B20" s="82" t="n">
        <v>1.2</v>
      </c>
      <c r="C20" s="60" t="inlineStr">
        <is>
          <t>x</t>
        </is>
      </c>
      <c r="D20" s="60" t="inlineStr">
        <is>
          <t>Estimate</t>
        </is>
      </c>
      <c r="E20" s="72" t="inlineStr">
        <is>
          <t>Checked: attention adds ~8% for an 8B model at this context length; batching gaps and networking add the rest.</t>
        </is>
      </c>
    </row>
    <row r="21" ht="15" customHeight="1" s="56">
      <c r="A21" s="69" t="inlineStr">
        <is>
          <t>C. Workload</t>
        </is>
      </c>
      <c r="B21" s="70" t="n"/>
      <c r="C21" s="70" t="n"/>
      <c r="D21" s="70" t="n"/>
      <c r="E21" s="70" t="n"/>
    </row>
    <row r="22" ht="23.85" customHeight="1" s="56">
      <c r="A22" s="60" t="inlineStr">
        <is>
          <t>Tokens per decision: which source</t>
        </is>
      </c>
      <c r="B22" s="76" t="inlineStr">
        <is>
          <t>Live test</t>
        </is>
      </c>
      <c r="C22" s="60" t="inlineStr">
        <is>
          <t>dropdown</t>
        </is>
      </c>
      <c r="D22" s="60" t="inlineStr">
        <is>
          <t>Choice</t>
        </is>
      </c>
      <c r="E22" s="72" t="inlineStr">
        <is>
          <t>Doom demo = implied by TypeSafe's own billing ($7/hr at 10 qps), but game state is unusually large. Sample workloads = six finance/ops decisions counted offline (LiveTest tab). Live test = your measured API results once pasted into LiveTest.</t>
        </is>
      </c>
    </row>
    <row r="23" ht="15" customHeight="1" s="56">
      <c r="A23" s="60" t="inlineStr">
        <is>
          <t>Input tokens per decision (used)</t>
        </is>
      </c>
      <c r="B23" s="78">
        <f>IF($B$22="Doom demo",$B$8/($B$9*3600)/($B$6/1000000),IF($B$22="Live test",IF(LiveTest!$B$32&gt;0,LiveTest!$B$32,LiveTest!$E$13),LiveTest!$E$13))</f>
        <v/>
      </c>
      <c r="C23" s="60" t="inlineStr">
        <is>
          <t>tokens</t>
        </is>
      </c>
      <c r="D23" s="60" t="inlineStr">
        <is>
          <t>Derived</t>
        </is>
      </c>
      <c r="E23" s="72">
        <f>"Using: "&amp;$B$22&amp;IF(AND($B$22="Live test",LiveTest!$B$32=0)," (no live results pasted yet, falling back to sample workloads)","")</f>
        <v/>
      </c>
    </row>
    <row r="24" ht="15" customHeight="1" s="56">
      <c r="A24" s="60" t="inlineStr">
        <is>
          <t>Comparable LLM, case 1 (fast, no reasoning)</t>
        </is>
      </c>
      <c r="B24" s="76" t="inlineStr">
        <is>
          <t>Claude Haiku 4.5</t>
        </is>
      </c>
      <c r="C24" s="60" t="inlineStr">
        <is>
          <t>dropdown</t>
        </is>
      </c>
      <c r="D24" s="60" t="inlineStr">
        <is>
          <t>Choice</t>
        </is>
      </c>
      <c r="E24" s="72">
        <f>INDEX(Prices!$G$14:$G$21,MATCH($B$24,Prices!$A$14:$A$21,0))</f>
        <v/>
      </c>
    </row>
    <row r="25" ht="15" customHeight="1" s="56">
      <c r="A25" s="60" t="inlineStr">
        <is>
          <t>Comparable LLM, case 2 (reasoning model)</t>
        </is>
      </c>
      <c r="B25" s="76" t="inlineStr">
        <is>
          <t>GPT-5.6 Terra</t>
        </is>
      </c>
      <c r="C25" s="60" t="inlineStr">
        <is>
          <t>dropdown</t>
        </is>
      </c>
      <c r="D25" s="60" t="inlineStr">
        <is>
          <t>Choice</t>
        </is>
      </c>
      <c r="E25" s="72">
        <f>INDEX(Prices!$G$14:$G$21,MATCH($B$25,Prices!$A$14:$A$21,0))</f>
        <v/>
      </c>
    </row>
    <row r="26" ht="15" customHeight="1" s="56">
      <c r="A26" s="60" t="inlineStr">
        <is>
          <t>Extra prompt tokens an LLM needs vs. Jev</t>
        </is>
      </c>
      <c r="B26" s="74" t="n">
        <v>150</v>
      </c>
      <c r="C26" s="60" t="inlineStr">
        <is>
          <t>tokens</t>
        </is>
      </c>
      <c r="D26" s="60" t="inlineStr">
        <is>
          <t>Estimate</t>
        </is>
      </c>
      <c r="E26" s="72" t="inlineStr">
        <is>
          <t>An LLM needs instructions on output format that Jev's typed schema makes unnecessary.</t>
        </is>
      </c>
    </row>
    <row r="27" ht="15" customHeight="1" s="56">
      <c r="A27" s="69" t="inlineStr">
        <is>
          <t>D. Company and cash</t>
        </is>
      </c>
      <c r="B27" s="70" t="n"/>
      <c r="C27" s="70" t="n"/>
      <c r="D27" s="70" t="n"/>
      <c r="E27" s="70" t="n"/>
    </row>
    <row r="28" ht="15" customHeight="1" s="56">
      <c r="A28" s="60" t="inlineStr">
        <is>
          <t>Seed raised</t>
        </is>
      </c>
      <c r="B28" s="75" t="n">
        <v>40</v>
      </c>
      <c r="C28" s="60" t="inlineStr">
        <is>
          <t>$mm</t>
        </is>
      </c>
      <c r="D28" s="60" t="inlineStr">
        <is>
          <t>Confirmed</t>
        </is>
      </c>
      <c r="E28" s="72" t="inlineStr">
        <is>
          <t>Seed led by DCVC, announced Sep 15 2026.</t>
        </is>
      </c>
    </row>
    <row r="29" ht="15" customHeight="1" s="56">
      <c r="A29" s="60" t="inlineStr">
        <is>
          <t>Seed valuation</t>
        </is>
      </c>
      <c r="B29" s="75" t="n">
        <v>200</v>
      </c>
      <c r="C29" s="60" t="inlineStr">
        <is>
          <t>$mm</t>
        </is>
      </c>
      <c r="D29" s="60" t="inlineStr">
        <is>
          <t>Reported</t>
        </is>
      </c>
      <c r="E29" s="72" t="inlineStr">
        <is>
          <t>Forbes, citing a person familiar; not confirmed by TypeSafe.</t>
        </is>
      </c>
    </row>
    <row r="30" ht="15" customHeight="1" s="56">
      <c r="A30" s="60" t="inlineStr">
        <is>
          <t>Cash on hand today: low case</t>
        </is>
      </c>
      <c r="B30" s="75" t="n">
        <v>20</v>
      </c>
      <c r="C30" s="60" t="inlineStr">
        <is>
          <t>$mm</t>
        </is>
      </c>
      <c r="D30" s="60" t="inlineStr">
        <is>
          <t>Estimate - UNKNOWN</t>
        </is>
      </c>
      <c r="E30" s="72" t="inlineStr">
        <is>
          <t>Two years of stealth spending may have used much of the seed.</t>
        </is>
      </c>
    </row>
    <row r="31" ht="15" customHeight="1" s="56">
      <c r="A31" s="60" t="inlineStr">
        <is>
          <t>Cash on hand today: base case</t>
        </is>
      </c>
      <c r="B31" s="83" t="n">
        <v>30</v>
      </c>
      <c r="C31" s="60" t="inlineStr">
        <is>
          <t>$mm</t>
        </is>
      </c>
      <c r="D31" s="60" t="inlineStr">
        <is>
          <t>Estimate - UNKNOWN</t>
        </is>
      </c>
      <c r="E31" s="72" t="n"/>
    </row>
    <row r="32" ht="15" customHeight="1" s="56">
      <c r="A32" s="60" t="inlineStr">
        <is>
          <t>Cash on hand today: high case</t>
        </is>
      </c>
      <c r="B32" s="75" t="n">
        <v>40</v>
      </c>
      <c r="C32" s="60" t="inlineStr">
        <is>
          <t>$mm</t>
        </is>
      </c>
      <c r="D32" s="60" t="inlineStr">
        <is>
          <t>Estimate - UNKNOWN</t>
        </is>
      </c>
      <c r="E32" s="72" t="inlineStr">
        <is>
          <t>If the seed closed recently (announcements often lag closings) and earlier costs were covered by other money or credits.</t>
        </is>
      </c>
    </row>
    <row r="33" ht="15" customHeight="1" s="56">
      <c r="A33" s="60" t="inlineStr">
        <is>
          <t>Current headcount</t>
        </is>
      </c>
      <c r="B33" s="84">
        <f>Hiring!$D$32</f>
        <v/>
      </c>
      <c r="C33" s="60" t="inlineStr">
        <is>
          <t>people</t>
        </is>
      </c>
      <c r="D33" s="60" t="inlineStr">
        <is>
          <t>From Hiring tab</t>
        </is>
      </c>
      <c r="E33" s="72" t="inlineStr">
        <is>
          <t>Roster on the Hiring tab (25, matching the reported headcount).</t>
        </is>
      </c>
    </row>
    <row r="34" ht="15" customHeight="1" s="56">
      <c r="A34" s="60" t="inlineStr">
        <is>
          <t>Current payroll, fully loaded</t>
        </is>
      </c>
      <c r="B34" s="85">
        <f>Hiring!$H$32/1000</f>
        <v/>
      </c>
      <c r="C34" s="60" t="inlineStr">
        <is>
          <t>$mm / year</t>
        </is>
      </c>
      <c r="D34" s="60" t="inlineStr">
        <is>
          <t>From Hiring tab</t>
        </is>
      </c>
      <c r="E34" s="72" t="inlineStr">
        <is>
          <t>Cash cost only. Equity is a large part of AI-lab pay but doesn't burn cash.</t>
        </is>
      </c>
    </row>
    <row r="35" ht="15" customHeight="1" s="56">
      <c r="A35" s="60" t="inlineStr">
        <is>
          <t>Minimum runway target</t>
        </is>
      </c>
      <c r="B35" s="74" t="n">
        <v>18</v>
      </c>
      <c r="C35" s="60" t="inlineStr">
        <is>
          <t>months</t>
        </is>
      </c>
      <c r="D35" s="60" t="inlineStr">
        <is>
          <t>Policy choice</t>
        </is>
      </c>
      <c r="E35" s="72" t="inlineStr">
        <is>
          <t>Common startup rule: keep at least 18 months so you can raise from strength. Drives the hire check on the Hiring tab.</t>
        </is>
      </c>
    </row>
    <row r="36" ht="15" customHeight="1" s="56">
      <c r="A36" s="60" t="inlineStr">
        <is>
          <t>Other opex (rent, software, legal, insurance)</t>
        </is>
      </c>
      <c r="B36" s="86" t="n">
        <v>3</v>
      </c>
      <c r="C36" s="60" t="inlineStr">
        <is>
          <t>$mm / year</t>
        </is>
      </c>
      <c r="D36" s="60" t="inlineStr">
        <is>
          <t>Estimate</t>
        </is>
      </c>
      <c r="E36" s="72" t="inlineStr">
        <is>
          <t>SF office near Embarcadero for 25-50 people plus the usual overhead.</t>
        </is>
      </c>
    </row>
    <row r="37" ht="23.85" customHeight="1" s="56">
      <c r="A37" s="60" t="inlineStr">
        <is>
          <t>Research GPU</t>
        </is>
      </c>
      <c r="B37" s="76" t="inlineStr">
        <is>
          <t>H100 SXM</t>
        </is>
      </c>
      <c r="C37" s="60" t="inlineStr">
        <is>
          <t>dropdown</t>
        </is>
      </c>
      <c r="D37" s="60" t="inlineStr">
        <is>
          <t>Estimate</t>
        </is>
      </c>
      <c r="E37" s="72">
        <f>INDEX(Prices!$I$6:$I$9,MATCH($B$37,Prices!$A$6:$A$9,0))</f>
        <v/>
      </c>
    </row>
    <row r="38" ht="23.85" customHeight="1" s="56">
      <c r="A38" s="60" t="inlineStr">
        <is>
          <t>Research / training GPUs</t>
        </is>
      </c>
      <c r="B38" s="87" t="n">
        <v>256</v>
      </c>
      <c r="C38" s="60" t="inlineStr">
        <is>
          <t>GPUs</t>
        </is>
      </c>
      <c r="D38" s="60" t="inlineStr">
        <is>
          <t>Estimate</t>
        </is>
      </c>
      <c r="E38" s="72" t="inlineStr">
        <is>
          <t>Cut from 512: at 512 GPUs plus payroll, two years of stealth would have cost more than the $40M seed. Either they used less compute, had cloud credits, or raised undisclosed earlier money. Worth asking.</t>
        </is>
      </c>
    </row>
    <row r="39" ht="15" customHeight="1" s="56">
      <c r="A39" s="60" t="inlineStr">
        <is>
          <t>Research GPU rate</t>
        </is>
      </c>
      <c r="B39" s="77">
        <f>INDEX(Prices!$B$6:$B$9,MATCH($B$37,Prices!$A$6:$A$9,0))</f>
        <v/>
      </c>
      <c r="C39" s="60" t="inlineStr">
        <is>
          <t>$ / GPU-hour</t>
        </is>
      </c>
      <c r="D39" s="60" t="inlineStr">
        <is>
          <t>Estimate</t>
        </is>
      </c>
      <c r="E39" s="72">
        <f>"Committed rate for "&amp;$B$37&amp;" from the Prices tab."</f>
        <v/>
      </c>
    </row>
    <row r="40" ht="15" customHeight="1" s="56">
      <c r="A40" s="69" t="inlineStr">
        <is>
          <t>E. Revenue leakage and free credits</t>
        </is>
      </c>
      <c r="B40" s="70" t="n"/>
      <c r="C40" s="70" t="n"/>
      <c r="D40" s="70" t="n"/>
      <c r="E40" s="70" t="n"/>
    </row>
    <row r="41" ht="15" customHeight="1" s="56">
      <c r="A41" s="60" t="inlineStr">
        <is>
          <t>Share of volume sold through gateways</t>
        </is>
      </c>
      <c r="B41" s="79" t="n">
        <v>0.4</v>
      </c>
      <c r="C41" s="60" t="inlineStr">
        <is>
          <t>%</t>
        </is>
      </c>
      <c r="D41" s="60" t="inlineStr">
        <is>
          <t>Estimate</t>
        </is>
      </c>
      <c r="E41" s="72" t="inlineStr">
        <is>
          <t>Jev is sold via Vercel AI Gateway, OpenRouter and DigitalOcean as well as direct. Share is unknown.</t>
        </is>
      </c>
    </row>
    <row r="42" ht="15" customHeight="1" s="56">
      <c r="A42" s="60" t="inlineStr">
        <is>
          <t>Gateway fee on that volume</t>
        </is>
      </c>
      <c r="B42" s="79" t="n">
        <v>0.05</v>
      </c>
      <c r="C42" s="60" t="inlineStr">
        <is>
          <t>%</t>
        </is>
      </c>
      <c r="D42" s="60" t="inlineStr">
        <is>
          <t>Estimate - UNKNOWN</t>
        </is>
      </c>
      <c r="E42" s="72" t="inlineStr">
        <is>
          <t>Placeholder; the commercial terms with each gateway are not public.</t>
        </is>
      </c>
    </row>
    <row r="43" ht="15" customHeight="1" s="56">
      <c r="A43" s="60" t="inlineStr">
        <is>
          <t>Payment processing on direct sales</t>
        </is>
      </c>
      <c r="B43" s="79" t="n">
        <v>0.03</v>
      </c>
      <c r="C43" s="60" t="inlineStr">
        <is>
          <t>%</t>
        </is>
      </c>
      <c r="D43" s="60" t="inlineStr">
        <is>
          <t>Estimate</t>
        </is>
      </c>
      <c r="E43" s="72" t="inlineStr">
        <is>
          <t>Typical card processing on prepaid credit purchases.</t>
        </is>
      </c>
    </row>
    <row r="44" ht="15" customHeight="1" s="56">
      <c r="A44" s="60" t="inlineStr">
        <is>
          <t>New developer signups per month</t>
        </is>
      </c>
      <c r="B44" s="74" t="n">
        <v>1500</v>
      </c>
      <c r="C44" s="60" t="inlineStr">
        <is>
          <t>signups</t>
        </is>
      </c>
      <c r="D44" s="60" t="inlineStr">
        <is>
          <t>Estimate - UNKNOWN</t>
        </is>
      </c>
      <c r="E44" s="72" t="n"/>
    </row>
    <row r="45" ht="15" customHeight="1" s="56">
      <c r="A45" s="60" t="inlineStr">
        <is>
          <t>Share of free credit actually used</t>
        </is>
      </c>
      <c r="B45" s="79" t="n">
        <v>0.6</v>
      </c>
      <c r="C45" s="60" t="inlineStr">
        <is>
          <t>%</t>
        </is>
      </c>
      <c r="D45" s="60" t="inlineStr">
        <is>
          <t>Estimate</t>
        </is>
      </c>
      <c r="E45" s="72" t="n"/>
    </row>
    <row r="46" ht="15" customHeight="1" s="56">
      <c r="A46" s="69" t="inlineStr">
        <is>
          <t>F. Volume and efficiency</t>
        </is>
      </c>
      <c r="B46" s="70" t="n"/>
      <c r="C46" s="70" t="n"/>
      <c r="D46" s="70" t="n"/>
      <c r="E46" s="70" t="n"/>
    </row>
    <row r="47" ht="23.85" customHeight="1" s="56">
      <c r="A47" s="60" t="inlineStr">
        <is>
          <t>Billed tokens per day, month 1</t>
        </is>
      </c>
      <c r="B47" s="81" t="n">
        <v>90</v>
      </c>
      <c r="C47" s="60" t="inlineStr">
        <is>
          <t>B tokens / day</t>
        </is>
      </c>
      <c r="D47" s="60" t="inlineStr">
        <is>
          <t>Estimate - UNKNOWN</t>
        </is>
      </c>
      <c r="E47" s="72" t="inlineStr">
        <is>
          <t>Volume is set in tokens because that's what's billed, so switching the tokens-per-decision source doesn't change revenue. Only public signal: ~13% of Vercel AI Gateway paid teams tried Jev in its first 24 hours (trial, not paid demand).</t>
        </is>
      </c>
    </row>
    <row r="48" ht="15" customHeight="1" s="56">
      <c r="A48" s="60" t="inlineStr">
        <is>
          <t>Implied annualized revenue, month 1</t>
        </is>
      </c>
      <c r="B48" s="88">
        <f>$B$47*1000000000*365/1000000*$B$6/1000000</f>
        <v/>
      </c>
      <c r="C48" s="60" t="inlineStr">
        <is>
          <t>$mm</t>
        </is>
      </c>
      <c r="D48" s="60" t="inlineStr">
        <is>
          <t>Derived</t>
        </is>
      </c>
      <c r="E48" s="72" t="inlineStr">
        <is>
          <t>Sanity check on the volume input: is this plausible two weeks after launch?</t>
        </is>
      </c>
    </row>
    <row r="49" ht="15" customHeight="1" s="56">
      <c r="A49" s="60" t="inlineStr">
        <is>
          <t>Implied decisions per day, month 1</t>
        </is>
      </c>
      <c r="B49" s="89">
        <f>$B$47*1000000000/$B$23/1000000</f>
        <v/>
      </c>
      <c r="C49" s="60" t="inlineStr">
        <is>
          <t>M decisions / day</t>
        </is>
      </c>
      <c r="D49" s="60" t="inlineStr">
        <is>
          <t>Derived</t>
        </is>
      </c>
      <c r="E49" s="72" t="inlineStr">
        <is>
          <t>Depends on the tokens-per-decision source.</t>
        </is>
      </c>
    </row>
    <row r="50" ht="15" customHeight="1" s="56">
      <c r="A50" s="60" t="inlineStr">
        <is>
          <t>Volume growth per month</t>
        </is>
      </c>
      <c r="B50" s="80" t="n">
        <v>0.15</v>
      </c>
      <c r="C50" s="60" t="inlineStr">
        <is>
          <t>%</t>
        </is>
      </c>
      <c r="D50" s="60" t="inlineStr">
        <is>
          <t>Estimate</t>
        </is>
      </c>
      <c r="E50" s="72" t="inlineStr">
        <is>
          <t>About 5x a year. Aggressive but consistent with a hot launch.</t>
        </is>
      </c>
    </row>
    <row r="51" ht="15" customHeight="1" s="56">
      <c r="A51" s="60" t="inlineStr">
        <is>
          <t>Cost-per-token improvement per month</t>
        </is>
      </c>
      <c r="B51" s="80" t="n">
        <v>0.03</v>
      </c>
      <c r="C51" s="60" t="inlineStr">
        <is>
          <t>%</t>
        </is>
      </c>
      <c r="D51" s="60" t="inlineStr">
        <is>
          <t>Estimate</t>
        </is>
      </c>
      <c r="E51" s="72" t="inlineStr">
        <is>
          <t>Kernels, quantization, cheaper hardware. 3%/mo is ~31%/yr; AI inference costs have historically fallen faster.</t>
        </is>
      </c>
    </row>
  </sheetData>
  <dataValidations count="4">
    <dataValidation sqref="B12 B37" showDropDown="0" showInputMessage="0" showErrorMessage="0" allowBlank="0" type="list" errorStyle="stop" operator="between">
      <formula1>"H100 SXM,H200,B200,B300"</formula1>
      <formula2>0</formula2>
    </dataValidation>
    <dataValidation sqref="B13" showDropDown="0" showInputMessage="0" showErrorMessage="0" allowBlank="0" type="list" errorStyle="stop" operator="between">
      <formula1>"BF16,FP8"</formula1>
      <formula2>0</formula2>
    </dataValidation>
    <dataValidation sqref="B22" showDropDown="0" showInputMessage="0" showErrorMessage="0" allowBlank="0" type="list" errorStyle="stop" operator="between">
      <formula1>"Doom demo,Sample workloads,Live test"</formula1>
      <formula2>0</formula2>
    </dataValidation>
    <dataValidation sqref="B24:B25" showDropDown="0" showInputMessage="0" showErrorMessage="0" allowBlank="0" type="list" errorStyle="stop" operator="between">
      <formula1>Prices!$A$14:$A$21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55" min="1" max="1"/>
    <col width="13" customWidth="1" style="55" min="2" max="2"/>
    <col width="11" customWidth="1" style="55" min="3" max="3"/>
    <col width="8" customWidth="1" style="55" min="4" max="4"/>
    <col width="14" customWidth="1" style="55" min="5" max="6"/>
    <col width="12" customWidth="1" style="55" min="7" max="7"/>
    <col width="16" customWidth="1" style="55" min="8" max="9"/>
    <col width="50" customWidth="1" style="55" min="10" max="10"/>
  </cols>
  <sheetData>
    <row r="1" ht="17.35" customHeight="1" s="56">
      <c r="A1" s="57" t="inlineStr">
        <is>
          <t>Hiring plan and affordability check</t>
        </is>
      </c>
    </row>
    <row r="2" ht="15" customHeight="1" s="56">
      <c r="A2" s="58" t="inlineStr">
        <is>
          <t>Current roster is fixed. Add planned hires below with a start month; payroll and runway update everywhere.</t>
        </is>
      </c>
    </row>
    <row r="4" ht="15" customHeight="1" s="56">
      <c r="A4" s="68" t="inlineStr">
        <is>
          <t>Hire check</t>
        </is>
      </c>
    </row>
    <row r="5" ht="15" customHeight="1" s="56">
      <c r="A5" s="60" t="inlineStr">
        <is>
          <t>Current headcount</t>
        </is>
      </c>
      <c r="B5" s="78">
        <f>D32</f>
        <v/>
      </c>
    </row>
    <row r="6" ht="15" customHeight="1" s="56">
      <c r="A6" s="60" t="inlineStr">
        <is>
          <t>Current annual payroll, fully loaded ($mm)</t>
        </is>
      </c>
      <c r="B6" s="88">
        <f>H32/1000</f>
        <v/>
      </c>
    </row>
    <row r="7" ht="15" customHeight="1" s="56">
      <c r="A7" s="60" t="inlineStr">
        <is>
          <t>Planned hires (people)</t>
        </is>
      </c>
      <c r="B7" s="78">
        <f>SUM(D37:D66)</f>
        <v/>
      </c>
    </row>
    <row r="8" ht="15" customHeight="1" s="56">
      <c r="A8" s="60" t="inlineStr">
        <is>
          <t>Headcount at month 24</t>
        </is>
      </c>
      <c r="B8" s="84">
        <f>Runway!Y5</f>
        <v/>
      </c>
    </row>
    <row r="9" ht="15" customHeight="1" s="56">
      <c r="A9" s="60" t="inlineStr">
        <is>
          <t>Payroll at month 24, annualized ($mm)</t>
        </is>
      </c>
      <c r="B9" s="85">
        <f>Runway!Y6*12</f>
        <v/>
      </c>
    </row>
    <row r="10" ht="15" customHeight="1" s="56">
      <c r="A10" s="60" t="inlineStr">
        <is>
          <t>Minimum runway target (months)</t>
        </is>
      </c>
      <c r="B10" s="84">
        <f>Assumptions!$B$35</f>
        <v/>
      </c>
    </row>
    <row r="11" ht="15" customHeight="1" s="56">
      <c r="A11" s="60" t="inlineStr">
        <is>
          <t>Runway on base-case cash with this plan (months; 24 = at least 24)</t>
        </is>
      </c>
      <c r="B11" s="84">
        <f>Runway!B34</f>
        <v/>
      </c>
    </row>
    <row r="12" ht="15" customHeight="1" s="56">
      <c r="A12" s="60" t="inlineStr">
        <is>
          <t>Runway used up by the planned hires (months)</t>
        </is>
      </c>
      <c r="B12" s="84">
        <f>Runway!B37</f>
        <v/>
      </c>
    </row>
    <row r="13" ht="15" customHeight="1" s="56">
      <c r="A13" s="68" t="inlineStr">
        <is>
          <t>Can we afford this plan?</t>
        </is>
      </c>
      <c r="B13" s="68">
        <f>IF(B11&gt;=B10,"YES: runway stays at or above target","NO: runway falls below target. Delay start months or cut hires.")</f>
        <v/>
      </c>
    </row>
    <row r="15" ht="15" customHeight="1" s="56">
      <c r="A15" s="68" t="inlineStr">
        <is>
          <t>Current team (fixed)</t>
        </is>
      </c>
    </row>
    <row r="16" ht="35.05" customHeight="1" s="56">
      <c r="A16" s="59" t="inlineStr">
        <is>
          <t>Role</t>
        </is>
      </c>
      <c r="B16" s="59" t="inlineStr">
        <is>
          <t>Function</t>
        </is>
      </c>
      <c r="C16" s="59" t="inlineStr">
        <is>
          <t>Type</t>
        </is>
      </c>
      <c r="D16" s="59" t="inlineStr">
        <is>
          <t>Count</t>
        </is>
      </c>
      <c r="E16" s="59" t="inlineStr">
        <is>
          <t>Base salary ($k, est.)</t>
        </is>
      </c>
      <c r="F16" s="59" t="inlineStr">
        <is>
          <t>Load factor</t>
        </is>
      </c>
      <c r="G16" s="59" t="inlineStr">
        <is>
          <t>Loaded cost / person ($k)</t>
        </is>
      </c>
      <c r="H16" s="59" t="inlineStr">
        <is>
          <t>Annual cost ($k)</t>
        </is>
      </c>
      <c r="I16" s="59" t="n"/>
      <c r="J16" s="59" t="inlineStr">
        <is>
          <t>Notes</t>
        </is>
      </c>
    </row>
    <row r="17" ht="15" customHeight="1" s="56">
      <c r="A17" s="90" t="inlineStr">
        <is>
          <t>Co-founder</t>
        </is>
      </c>
      <c r="B17" s="90" t="inlineStr">
        <is>
          <t>Leadership</t>
        </is>
      </c>
      <c r="C17" s="90" t="inlineStr">
        <is>
          <t>FTE</t>
        </is>
      </c>
      <c r="D17" s="91" t="n">
        <v>3</v>
      </c>
      <c r="E17" s="92" t="n">
        <v>250</v>
      </c>
      <c r="F17" s="93">
        <f>IF(C17="Contract",1,IF(C17="FTE",$B$70,0))</f>
        <v/>
      </c>
      <c r="G17" s="94">
        <f>E17*F17</f>
        <v/>
      </c>
      <c r="H17" s="94">
        <f>D17*G17</f>
        <v/>
      </c>
      <c r="J17" s="60" t="inlineStr">
        <is>
          <t>Fixed. Founders often take below-market cash.</t>
        </is>
      </c>
    </row>
    <row r="18" ht="15" customHeight="1" s="56">
      <c r="A18" s="90" t="inlineStr">
        <is>
          <t>Member of Technical Staff</t>
        </is>
      </c>
      <c r="B18" s="90" t="inlineStr">
        <is>
          <t>R&amp;D</t>
        </is>
      </c>
      <c r="C18" s="90" t="inlineStr">
        <is>
          <t>FTE</t>
        </is>
      </c>
      <c r="D18" s="91" t="n">
        <v>13</v>
      </c>
      <c r="E18" s="92" t="n">
        <v>300</v>
      </c>
      <c r="F18" s="93">
        <f>IF(C18="Contract",1,IF(C18="FTE",$B$70,0))</f>
        <v/>
      </c>
      <c r="G18" s="94">
        <f>E18*F18</f>
        <v/>
      </c>
      <c r="H18" s="94">
        <f>D18*G18</f>
        <v/>
      </c>
      <c r="J18" s="60" t="inlineStr">
        <is>
          <t>Core research and engineering; ex-OpenAI / Google Brain / FAIR talent.</t>
        </is>
      </c>
    </row>
    <row r="19" ht="15" customHeight="1" s="56">
      <c r="A19" s="90" t="inlineStr">
        <is>
          <t>Research Engineer</t>
        </is>
      </c>
      <c r="B19" s="90" t="inlineStr">
        <is>
          <t>R&amp;D</t>
        </is>
      </c>
      <c r="C19" s="90" t="inlineStr">
        <is>
          <t>FTE</t>
        </is>
      </c>
      <c r="D19" s="91" t="n">
        <v>1</v>
      </c>
      <c r="E19" s="92" t="n">
        <v>280</v>
      </c>
      <c r="F19" s="93">
        <f>IF(C19="Contract",1,IF(C19="FTE",$B$70,0))</f>
        <v/>
      </c>
      <c r="G19" s="94">
        <f>E19*F19</f>
        <v/>
      </c>
      <c r="H19" s="94">
        <f>D19*G19</f>
        <v/>
      </c>
      <c r="J19" s="60" t="n"/>
    </row>
    <row r="20" ht="15" customHeight="1" s="56">
      <c r="A20" s="90" t="inlineStr">
        <is>
          <t>Developer Platform</t>
        </is>
      </c>
      <c r="B20" s="90" t="inlineStr">
        <is>
          <t>R&amp;D</t>
        </is>
      </c>
      <c r="C20" s="90" t="inlineStr">
        <is>
          <t>FTE</t>
        </is>
      </c>
      <c r="D20" s="91" t="n">
        <v>1</v>
      </c>
      <c r="E20" s="92" t="n">
        <v>260</v>
      </c>
      <c r="F20" s="93">
        <f>IF(C20="Contract",1,IF(C20="FTE",$B$70,0))</f>
        <v/>
      </c>
      <c r="G20" s="94">
        <f>E20*F20</f>
        <v/>
      </c>
      <c r="H20" s="94">
        <f>D20*G20</f>
        <v/>
      </c>
      <c r="J20" s="60" t="inlineStr">
        <is>
          <t>API, SDKs, console.</t>
        </is>
      </c>
    </row>
    <row r="21" ht="15" customHeight="1" s="56">
      <c r="A21" s="90" t="inlineStr">
        <is>
          <t>Product</t>
        </is>
      </c>
      <c r="B21" s="90" t="inlineStr">
        <is>
          <t>Product</t>
        </is>
      </c>
      <c r="C21" s="90" t="inlineStr">
        <is>
          <t>FTE</t>
        </is>
      </c>
      <c r="D21" s="91" t="n">
        <v>2</v>
      </c>
      <c r="E21" s="92" t="n">
        <v>230</v>
      </c>
      <c r="F21" s="93">
        <f>IF(C21="Contract",1,IF(C21="FTE",$B$70,0))</f>
        <v/>
      </c>
      <c r="G21" s="94">
        <f>E21*F21</f>
        <v/>
      </c>
      <c r="H21" s="94">
        <f>D21*G21</f>
        <v/>
      </c>
      <c r="J21" s="60" t="inlineStr">
        <is>
          <t>Listed twice in the roster, so counted as 2.</t>
        </is>
      </c>
    </row>
    <row r="22" ht="15" customHeight="1" s="56">
      <c r="A22" s="90" t="inlineStr">
        <is>
          <t>GTM</t>
        </is>
      </c>
      <c r="B22" s="90" t="inlineStr">
        <is>
          <t>GTM</t>
        </is>
      </c>
      <c r="C22" s="90" t="inlineStr">
        <is>
          <t>FTE</t>
        </is>
      </c>
      <c r="D22" s="91" t="n">
        <v>1</v>
      </c>
      <c r="E22" s="92" t="n">
        <v>200</v>
      </c>
      <c r="F22" s="93">
        <f>IF(C22="Contract",1,IF(C22="FTE",$B$70,0))</f>
        <v/>
      </c>
      <c r="G22" s="94">
        <f>E22*F22</f>
        <v/>
      </c>
      <c r="H22" s="94">
        <f>D22*G22</f>
        <v/>
      </c>
      <c r="J22" s="60" t="n"/>
    </row>
    <row r="23" ht="15" customHeight="1" s="56">
      <c r="A23" s="90" t="inlineStr">
        <is>
          <t>Developer Advocate</t>
        </is>
      </c>
      <c r="B23" s="90" t="inlineStr">
        <is>
          <t>GTM</t>
        </is>
      </c>
      <c r="C23" s="90" t="inlineStr">
        <is>
          <t>FTE</t>
        </is>
      </c>
      <c r="D23" s="91" t="n">
        <v>1</v>
      </c>
      <c r="E23" s="92" t="n">
        <v>190</v>
      </c>
      <c r="F23" s="93">
        <f>IF(C23="Contract",1,IF(C23="FTE",$B$70,0))</f>
        <v/>
      </c>
      <c r="G23" s="94">
        <f>E23*F23</f>
        <v/>
      </c>
      <c r="H23" s="94">
        <f>D23*G23</f>
        <v/>
      </c>
      <c r="J23" s="60" t="n"/>
    </row>
    <row r="24" ht="15" customHeight="1" s="56">
      <c r="A24" s="90" t="inlineStr">
        <is>
          <t>Chief of Staff</t>
        </is>
      </c>
      <c r="B24" s="90" t="inlineStr">
        <is>
          <t>G&amp;A</t>
        </is>
      </c>
      <c r="C24" s="90" t="inlineStr">
        <is>
          <t>FTE</t>
        </is>
      </c>
      <c r="D24" s="91" t="n">
        <v>1</v>
      </c>
      <c r="E24" s="92" t="n">
        <v>200</v>
      </c>
      <c r="F24" s="93">
        <f>IF(C24="Contract",1,IF(C24="FTE",$B$70,0))</f>
        <v/>
      </c>
      <c r="G24" s="94">
        <f>E24*F24</f>
        <v/>
      </c>
      <c r="H24" s="94">
        <f>D24*G24</f>
        <v/>
      </c>
      <c r="J24" s="60" t="n"/>
    </row>
    <row r="25" ht="15" customHeight="1" s="56">
      <c r="A25" s="90" t="inlineStr">
        <is>
          <t>Head of Recruiting</t>
        </is>
      </c>
      <c r="B25" s="90" t="inlineStr">
        <is>
          <t>G&amp;A</t>
        </is>
      </c>
      <c r="C25" s="90" t="inlineStr">
        <is>
          <t>FTE</t>
        </is>
      </c>
      <c r="D25" s="91" t="n">
        <v>1</v>
      </c>
      <c r="E25" s="92" t="n">
        <v>210</v>
      </c>
      <c r="F25" s="93">
        <f>IF(C25="Contract",1,IF(C25="FTE",$B$70,0))</f>
        <v/>
      </c>
      <c r="G25" s="94">
        <f>E25*F25</f>
        <v/>
      </c>
      <c r="H25" s="94">
        <f>D25*G25</f>
        <v/>
      </c>
      <c r="J25" s="60" t="n"/>
    </row>
    <row r="26" ht="15" customHeight="1" s="56">
      <c r="A26" s="90" t="inlineStr">
        <is>
          <t>SEO consultant</t>
        </is>
      </c>
      <c r="B26" s="90" t="inlineStr">
        <is>
          <t>GTM</t>
        </is>
      </c>
      <c r="C26" s="90" t="inlineStr">
        <is>
          <t>Contract</t>
        </is>
      </c>
      <c r="D26" s="91" t="n">
        <v>1</v>
      </c>
      <c r="E26" s="92" t="n">
        <v>120</v>
      </c>
      <c r="F26" s="93">
        <f>IF(C26="Contract",1,IF(C26="FTE",$B$70,0))</f>
        <v/>
      </c>
      <c r="G26" s="94">
        <f>E26*F26</f>
        <v/>
      </c>
      <c r="H26" s="94">
        <f>D26*G26</f>
        <v/>
      </c>
      <c r="J26" s="60" t="inlineStr">
        <is>
          <t>Contract: annual contract value, no benefits load.</t>
        </is>
      </c>
    </row>
    <row r="27" ht="15" customHeight="1" s="56">
      <c r="A27" s="90" t="n"/>
      <c r="B27" s="90" t="n"/>
      <c r="C27" s="90" t="n"/>
      <c r="D27" s="91" t="n"/>
      <c r="E27" s="92" t="n"/>
      <c r="F27" s="93">
        <f>IF(C27="Contract",1,IF(C27="FTE",$B$70,0))</f>
        <v/>
      </c>
      <c r="G27" s="94">
        <f>E27*F27</f>
        <v/>
      </c>
      <c r="H27" s="94">
        <f>D27*G27</f>
        <v/>
      </c>
      <c r="J27" s="60" t="n"/>
    </row>
    <row r="28" ht="15" customHeight="1" s="56">
      <c r="A28" s="90" t="n"/>
      <c r="B28" s="90" t="n"/>
      <c r="C28" s="90" t="n"/>
      <c r="D28" s="91" t="n"/>
      <c r="E28" s="92" t="n"/>
      <c r="F28" s="93">
        <f>IF(C28="Contract",1,IF(C28="FTE",$B$70,0))</f>
        <v/>
      </c>
      <c r="G28" s="94">
        <f>E28*F28</f>
        <v/>
      </c>
      <c r="H28" s="94">
        <f>D28*G28</f>
        <v/>
      </c>
      <c r="J28" s="60" t="n"/>
    </row>
    <row r="29" ht="15" customHeight="1" s="56">
      <c r="A29" s="90" t="n"/>
      <c r="B29" s="90" t="n"/>
      <c r="C29" s="90" t="n"/>
      <c r="D29" s="91" t="n"/>
      <c r="E29" s="92" t="n"/>
      <c r="F29" s="93">
        <f>IF(C29="Contract",1,IF(C29="FTE",$B$70,0))</f>
        <v/>
      </c>
      <c r="G29" s="94">
        <f>E29*F29</f>
        <v/>
      </c>
      <c r="H29" s="94">
        <f>D29*G29</f>
        <v/>
      </c>
      <c r="J29" s="60" t="n"/>
    </row>
    <row r="30" ht="15" customHeight="1" s="56">
      <c r="A30" s="90" t="n"/>
      <c r="B30" s="90" t="n"/>
      <c r="C30" s="90" t="n"/>
      <c r="D30" s="91" t="n"/>
      <c r="E30" s="92" t="n"/>
      <c r="F30" s="93">
        <f>IF(C30="Contract",1,IF(C30="FTE",$B$70,0))</f>
        <v/>
      </c>
      <c r="G30" s="94">
        <f>E30*F30</f>
        <v/>
      </c>
      <c r="H30" s="94">
        <f>D30*G30</f>
        <v/>
      </c>
      <c r="J30" s="60" t="n"/>
    </row>
    <row r="31" ht="15" customHeight="1" s="56">
      <c r="A31" s="90" t="n"/>
      <c r="B31" s="90" t="n"/>
      <c r="C31" s="90" t="n"/>
      <c r="D31" s="91" t="n"/>
      <c r="E31" s="92" t="n"/>
      <c r="F31" s="93">
        <f>IF(C31="Contract",1,IF(C31="FTE",$B$70,0))</f>
        <v/>
      </c>
      <c r="G31" s="94">
        <f>E31*F31</f>
        <v/>
      </c>
      <c r="H31" s="94">
        <f>D31*G31</f>
        <v/>
      </c>
      <c r="J31" s="60" t="n"/>
    </row>
    <row r="32" ht="15" customHeight="1" s="56">
      <c r="A32" s="68" t="inlineStr">
        <is>
          <t>Total current team</t>
        </is>
      </c>
      <c r="D32" s="95">
        <f>SUM(D17:D31)</f>
        <v/>
      </c>
      <c r="H32" s="96">
        <f>SUM(H17:H31)</f>
        <v/>
      </c>
    </row>
    <row r="35" ht="15" customHeight="1" s="56">
      <c r="A35" s="68" t="inlineStr">
        <is>
          <t>Planned hires: add a row per role, set the start month (1-24)</t>
        </is>
      </c>
    </row>
    <row r="36" ht="23.85" customHeight="1" s="56">
      <c r="A36" s="59" t="inlineStr">
        <is>
          <t>Role</t>
        </is>
      </c>
      <c r="B36" s="59" t="inlineStr">
        <is>
          <t>Function</t>
        </is>
      </c>
      <c r="C36" s="59" t="inlineStr">
        <is>
          <t>Type</t>
        </is>
      </c>
      <c r="D36" s="59" t="inlineStr">
        <is>
          <t>Count</t>
        </is>
      </c>
      <c r="E36" s="59" t="inlineStr">
        <is>
          <t>Start month</t>
        </is>
      </c>
      <c r="F36" s="59" t="inlineStr">
        <is>
          <t>Base salary ($k, est.)</t>
        </is>
      </c>
      <c r="G36" s="59" t="inlineStr">
        <is>
          <t>Load factor</t>
        </is>
      </c>
      <c r="H36" s="59" t="inlineStr">
        <is>
          <t>Loaded cost / person ($k)</t>
        </is>
      </c>
      <c r="I36" s="59" t="inlineStr">
        <is>
          <t>Annual run-rate ($k)</t>
        </is>
      </c>
      <c r="J36" s="59" t="inlineStr">
        <is>
          <t>Notes</t>
        </is>
      </c>
    </row>
    <row r="37" ht="15" customHeight="1" s="56">
      <c r="A37" s="90" t="inlineStr">
        <is>
          <t>Finance &amp; Business Planning</t>
        </is>
      </c>
      <c r="B37" s="90" t="inlineStr">
        <is>
          <t>G&amp;A</t>
        </is>
      </c>
      <c r="C37" s="90" t="inlineStr">
        <is>
          <t>FTE</t>
        </is>
      </c>
      <c r="D37" s="91" t="n">
        <v>1</v>
      </c>
      <c r="E37" s="97" t="n">
        <v>2</v>
      </c>
      <c r="F37" s="92" t="n">
        <v>190</v>
      </c>
      <c r="G37" s="93">
        <f>IF(C37="Contract",1,IF(C37="FTE",$B$70,0))</f>
        <v/>
      </c>
      <c r="H37" s="94">
        <f>F37*G37</f>
        <v/>
      </c>
      <c r="I37" s="94">
        <f>D37*H37</f>
        <v/>
      </c>
      <c r="J37" s="60" t="inlineStr">
        <is>
          <t>Example row: the role you're applying for.</t>
        </is>
      </c>
    </row>
    <row r="38" ht="15" customHeight="1" s="56">
      <c r="A38" s="90" t="n"/>
      <c r="B38" s="90" t="n"/>
      <c r="C38" s="90" t="n"/>
      <c r="D38" s="91" t="n"/>
      <c r="E38" s="97" t="n"/>
      <c r="F38" s="92" t="n"/>
      <c r="G38" s="93">
        <f>IF(C38="Contract",1,IF(C38="FTE",$B$70,0))</f>
        <v/>
      </c>
      <c r="H38" s="94">
        <f>F38*G38</f>
        <v/>
      </c>
      <c r="I38" s="94">
        <f>D38*H38</f>
        <v/>
      </c>
      <c r="J38" s="60" t="n"/>
    </row>
    <row r="39" ht="15" customHeight="1" s="56">
      <c r="A39" s="90" t="n"/>
      <c r="B39" s="90" t="n"/>
      <c r="C39" s="90" t="n"/>
      <c r="D39" s="91" t="n"/>
      <c r="E39" s="97" t="n"/>
      <c r="F39" s="92" t="n"/>
      <c r="G39" s="93">
        <f>IF(C39="Contract",1,IF(C39="FTE",$B$70,0))</f>
        <v/>
      </c>
      <c r="H39" s="94">
        <f>F39*G39</f>
        <v/>
      </c>
      <c r="I39" s="94">
        <f>D39*H39</f>
        <v/>
      </c>
      <c r="J39" s="60" t="n"/>
    </row>
    <row r="40" ht="15" customHeight="1" s="56">
      <c r="A40" s="90" t="n"/>
      <c r="B40" s="90" t="n"/>
      <c r="C40" s="90" t="n"/>
      <c r="D40" s="91" t="n"/>
      <c r="E40" s="97" t="n"/>
      <c r="F40" s="92" t="n"/>
      <c r="G40" s="93">
        <f>IF(C40="Contract",1,IF(C40="FTE",$B$70,0))</f>
        <v/>
      </c>
      <c r="H40" s="94">
        <f>F40*G40</f>
        <v/>
      </c>
      <c r="I40" s="94">
        <f>D40*H40</f>
        <v/>
      </c>
      <c r="J40" s="60" t="n"/>
    </row>
    <row r="41" ht="15" customHeight="1" s="56">
      <c r="A41" s="90" t="n"/>
      <c r="B41" s="90" t="n"/>
      <c r="C41" s="90" t="n"/>
      <c r="D41" s="91" t="n"/>
      <c r="E41" s="97" t="n"/>
      <c r="F41" s="92" t="n"/>
      <c r="G41" s="93">
        <f>IF(C41="Contract",1,IF(C41="FTE",$B$70,0))</f>
        <v/>
      </c>
      <c r="H41" s="94">
        <f>F41*G41</f>
        <v/>
      </c>
      <c r="I41" s="94">
        <f>D41*H41</f>
        <v/>
      </c>
      <c r="J41" s="60" t="n"/>
    </row>
    <row r="42" ht="15" customHeight="1" s="56">
      <c r="A42" s="90" t="n"/>
      <c r="B42" s="90" t="n"/>
      <c r="C42" s="90" t="n"/>
      <c r="D42" s="91" t="n"/>
      <c r="E42" s="97" t="n"/>
      <c r="F42" s="92" t="n"/>
      <c r="G42" s="93">
        <f>IF(C42="Contract",1,IF(C42="FTE",$B$70,0))</f>
        <v/>
      </c>
      <c r="H42" s="94">
        <f>F42*G42</f>
        <v/>
      </c>
      <c r="I42" s="94">
        <f>D42*H42</f>
        <v/>
      </c>
      <c r="J42" s="60" t="n"/>
    </row>
    <row r="43" ht="15" customHeight="1" s="56">
      <c r="A43" s="90" t="n"/>
      <c r="B43" s="90" t="n"/>
      <c r="C43" s="90" t="n"/>
      <c r="D43" s="91" t="n"/>
      <c r="E43" s="97" t="n"/>
      <c r="F43" s="92" t="n"/>
      <c r="G43" s="93">
        <f>IF(C43="Contract",1,IF(C43="FTE",$B$70,0))</f>
        <v/>
      </c>
      <c r="H43" s="94">
        <f>F43*G43</f>
        <v/>
      </c>
      <c r="I43" s="94">
        <f>D43*H43</f>
        <v/>
      </c>
      <c r="J43" s="60" t="n"/>
    </row>
    <row r="44" ht="15" customHeight="1" s="56">
      <c r="A44" s="90" t="n"/>
      <c r="B44" s="90" t="n"/>
      <c r="C44" s="90" t="n"/>
      <c r="D44" s="91" t="n"/>
      <c r="E44" s="97" t="n"/>
      <c r="F44" s="92" t="n"/>
      <c r="G44" s="93">
        <f>IF(C44="Contract",1,IF(C44="FTE",$B$70,0))</f>
        <v/>
      </c>
      <c r="H44" s="94">
        <f>F44*G44</f>
        <v/>
      </c>
      <c r="I44" s="94">
        <f>D44*H44</f>
        <v/>
      </c>
      <c r="J44" s="60" t="n"/>
    </row>
    <row r="45" ht="15" customHeight="1" s="56">
      <c r="A45" s="90" t="n"/>
      <c r="B45" s="90" t="n"/>
      <c r="C45" s="90" t="n"/>
      <c r="D45" s="91" t="n"/>
      <c r="E45" s="97" t="n"/>
      <c r="F45" s="92" t="n"/>
      <c r="G45" s="93">
        <f>IF(C45="Contract",1,IF(C45="FTE",$B$70,0))</f>
        <v/>
      </c>
      <c r="H45" s="94">
        <f>F45*G45</f>
        <v/>
      </c>
      <c r="I45" s="94">
        <f>D45*H45</f>
        <v/>
      </c>
      <c r="J45" s="60" t="n"/>
    </row>
    <row r="46" ht="15" customHeight="1" s="56">
      <c r="A46" s="90" t="n"/>
      <c r="B46" s="90" t="n"/>
      <c r="C46" s="90" t="n"/>
      <c r="D46" s="91" t="n"/>
      <c r="E46" s="97" t="n"/>
      <c r="F46" s="92" t="n"/>
      <c r="G46" s="93">
        <f>IF(C46="Contract",1,IF(C46="FTE",$B$70,0))</f>
        <v/>
      </c>
      <c r="H46" s="94">
        <f>F46*G46</f>
        <v/>
      </c>
      <c r="I46" s="94">
        <f>D46*H46</f>
        <v/>
      </c>
      <c r="J46" s="60" t="n"/>
    </row>
    <row r="47" ht="15" customHeight="1" s="56">
      <c r="A47" s="90" t="n"/>
      <c r="B47" s="90" t="n"/>
      <c r="C47" s="90" t="n"/>
      <c r="D47" s="91" t="n"/>
      <c r="E47" s="97" t="n"/>
      <c r="F47" s="92" t="n"/>
      <c r="G47" s="93">
        <f>IF(C47="Contract",1,IF(C47="FTE",$B$70,0))</f>
        <v/>
      </c>
      <c r="H47" s="94">
        <f>F47*G47</f>
        <v/>
      </c>
      <c r="I47" s="94">
        <f>D47*H47</f>
        <v/>
      </c>
      <c r="J47" s="60" t="n"/>
    </row>
    <row r="48" ht="15" customHeight="1" s="56">
      <c r="A48" s="90" t="n"/>
      <c r="B48" s="90" t="n"/>
      <c r="C48" s="90" t="n"/>
      <c r="D48" s="91" t="n"/>
      <c r="E48" s="97" t="n"/>
      <c r="F48" s="92" t="n"/>
      <c r="G48" s="93">
        <f>IF(C48="Contract",1,IF(C48="FTE",$B$70,0))</f>
        <v/>
      </c>
      <c r="H48" s="94">
        <f>F48*G48</f>
        <v/>
      </c>
      <c r="I48" s="94">
        <f>D48*H48</f>
        <v/>
      </c>
      <c r="J48" s="60" t="n"/>
    </row>
    <row r="49" ht="15" customHeight="1" s="56">
      <c r="A49" s="90" t="n"/>
      <c r="B49" s="90" t="n"/>
      <c r="C49" s="90" t="n"/>
      <c r="D49" s="91" t="n"/>
      <c r="E49" s="97" t="n"/>
      <c r="F49" s="92" t="n"/>
      <c r="G49" s="93">
        <f>IF(C49="Contract",1,IF(C49="FTE",$B$70,0))</f>
        <v/>
      </c>
      <c r="H49" s="94">
        <f>F49*G49</f>
        <v/>
      </c>
      <c r="I49" s="94">
        <f>D49*H49</f>
        <v/>
      </c>
      <c r="J49" s="60" t="n"/>
    </row>
    <row r="50" ht="15" customHeight="1" s="56">
      <c r="A50" s="90" t="n"/>
      <c r="B50" s="90" t="n"/>
      <c r="C50" s="90" t="n"/>
      <c r="D50" s="91" t="n"/>
      <c r="E50" s="97" t="n"/>
      <c r="F50" s="92" t="n"/>
      <c r="G50" s="93">
        <f>IF(C50="Contract",1,IF(C50="FTE",$B$70,0))</f>
        <v/>
      </c>
      <c r="H50" s="94">
        <f>F50*G50</f>
        <v/>
      </c>
      <c r="I50" s="94">
        <f>D50*H50</f>
        <v/>
      </c>
      <c r="J50" s="60" t="n"/>
    </row>
    <row r="51" ht="15" customHeight="1" s="56">
      <c r="A51" s="90" t="n"/>
      <c r="B51" s="90" t="n"/>
      <c r="C51" s="90" t="n"/>
      <c r="D51" s="91" t="n"/>
      <c r="E51" s="97" t="n"/>
      <c r="F51" s="92" t="n"/>
      <c r="G51" s="93">
        <f>IF(C51="Contract",1,IF(C51="FTE",$B$70,0))</f>
        <v/>
      </c>
      <c r="H51" s="94">
        <f>F51*G51</f>
        <v/>
      </c>
      <c r="I51" s="94">
        <f>D51*H51</f>
        <v/>
      </c>
      <c r="J51" s="60" t="n"/>
    </row>
    <row r="52" ht="15" customHeight="1" s="56">
      <c r="A52" s="90" t="n"/>
      <c r="B52" s="90" t="n"/>
      <c r="C52" s="90" t="n"/>
      <c r="D52" s="91" t="n"/>
      <c r="E52" s="97" t="n"/>
      <c r="F52" s="92" t="n"/>
      <c r="G52" s="93">
        <f>IF(C52="Contract",1,IF(C52="FTE",$B$70,0))</f>
        <v/>
      </c>
      <c r="H52" s="94">
        <f>F52*G52</f>
        <v/>
      </c>
      <c r="I52" s="94">
        <f>D52*H52</f>
        <v/>
      </c>
      <c r="J52" s="60" t="n"/>
    </row>
    <row r="53" ht="15" customHeight="1" s="56">
      <c r="A53" s="90" t="n"/>
      <c r="B53" s="90" t="n"/>
      <c r="C53" s="90" t="n"/>
      <c r="D53" s="91" t="n"/>
      <c r="E53" s="97" t="n"/>
      <c r="F53" s="92" t="n"/>
      <c r="G53" s="93">
        <f>IF(C53="Contract",1,IF(C53="FTE",$B$70,0))</f>
        <v/>
      </c>
      <c r="H53" s="94">
        <f>F53*G53</f>
        <v/>
      </c>
      <c r="I53" s="94">
        <f>D53*H53</f>
        <v/>
      </c>
      <c r="J53" s="60" t="n"/>
    </row>
    <row r="54" ht="15" customHeight="1" s="56">
      <c r="A54" s="90" t="n"/>
      <c r="B54" s="90" t="n"/>
      <c r="C54" s="90" t="n"/>
      <c r="D54" s="91" t="n"/>
      <c r="E54" s="97" t="n"/>
      <c r="F54" s="92" t="n"/>
      <c r="G54" s="93">
        <f>IF(C54="Contract",1,IF(C54="FTE",$B$70,0))</f>
        <v/>
      </c>
      <c r="H54" s="94">
        <f>F54*G54</f>
        <v/>
      </c>
      <c r="I54" s="94">
        <f>D54*H54</f>
        <v/>
      </c>
      <c r="J54" s="60" t="n"/>
    </row>
    <row r="55" ht="15" customHeight="1" s="56">
      <c r="A55" s="90" t="n"/>
      <c r="B55" s="90" t="n"/>
      <c r="C55" s="90" t="n"/>
      <c r="D55" s="91" t="n"/>
      <c r="E55" s="97" t="n"/>
      <c r="F55" s="92" t="n"/>
      <c r="G55" s="93">
        <f>IF(C55="Contract",1,IF(C55="FTE",$B$70,0))</f>
        <v/>
      </c>
      <c r="H55" s="94">
        <f>F55*G55</f>
        <v/>
      </c>
      <c r="I55" s="94">
        <f>D55*H55</f>
        <v/>
      </c>
      <c r="J55" s="60" t="n"/>
    </row>
    <row r="56" ht="15" customHeight="1" s="56">
      <c r="A56" s="90" t="n"/>
      <c r="B56" s="90" t="n"/>
      <c r="C56" s="90" t="n"/>
      <c r="D56" s="91" t="n"/>
      <c r="E56" s="97" t="n"/>
      <c r="F56" s="92" t="n"/>
      <c r="G56" s="93">
        <f>IF(C56="Contract",1,IF(C56="FTE",$B$70,0))</f>
        <v/>
      </c>
      <c r="H56" s="94">
        <f>F56*G56</f>
        <v/>
      </c>
      <c r="I56" s="94">
        <f>D56*H56</f>
        <v/>
      </c>
      <c r="J56" s="60" t="n"/>
    </row>
    <row r="57" ht="15" customHeight="1" s="56">
      <c r="A57" s="90" t="n"/>
      <c r="B57" s="90" t="n"/>
      <c r="C57" s="90" t="n"/>
      <c r="D57" s="91" t="n"/>
      <c r="E57" s="97" t="n"/>
      <c r="F57" s="92" t="n"/>
      <c r="G57" s="93">
        <f>IF(C57="Contract",1,IF(C57="FTE",$B$70,0))</f>
        <v/>
      </c>
      <c r="H57" s="94">
        <f>F57*G57</f>
        <v/>
      </c>
      <c r="I57" s="94">
        <f>D57*H57</f>
        <v/>
      </c>
      <c r="J57" s="60" t="n"/>
    </row>
    <row r="58" ht="15" customHeight="1" s="56">
      <c r="A58" s="90" t="n"/>
      <c r="B58" s="90" t="n"/>
      <c r="C58" s="90" t="n"/>
      <c r="D58" s="91" t="n"/>
      <c r="E58" s="97" t="n"/>
      <c r="F58" s="92" t="n"/>
      <c r="G58" s="93">
        <f>IF(C58="Contract",1,IF(C58="FTE",$B$70,0))</f>
        <v/>
      </c>
      <c r="H58" s="94">
        <f>F58*G58</f>
        <v/>
      </c>
      <c r="I58" s="94">
        <f>D58*H58</f>
        <v/>
      </c>
      <c r="J58" s="60" t="n"/>
    </row>
    <row r="59" ht="15" customHeight="1" s="56">
      <c r="A59" s="90" t="n"/>
      <c r="B59" s="90" t="n"/>
      <c r="C59" s="90" t="n"/>
      <c r="D59" s="91" t="n"/>
      <c r="E59" s="97" t="n"/>
      <c r="F59" s="92" t="n"/>
      <c r="G59" s="93">
        <f>IF(C59="Contract",1,IF(C59="FTE",$B$70,0))</f>
        <v/>
      </c>
      <c r="H59" s="94">
        <f>F59*G59</f>
        <v/>
      </c>
      <c r="I59" s="94">
        <f>D59*H59</f>
        <v/>
      </c>
      <c r="J59" s="60" t="n"/>
    </row>
    <row r="60" ht="15" customHeight="1" s="56">
      <c r="A60" s="90" t="n"/>
      <c r="B60" s="90" t="n"/>
      <c r="C60" s="90" t="n"/>
      <c r="D60" s="91" t="n"/>
      <c r="E60" s="97" t="n"/>
      <c r="F60" s="92" t="n"/>
      <c r="G60" s="93">
        <f>IF(C60="Contract",1,IF(C60="FTE",$B$70,0))</f>
        <v/>
      </c>
      <c r="H60" s="94">
        <f>F60*G60</f>
        <v/>
      </c>
      <c r="I60" s="94">
        <f>D60*H60</f>
        <v/>
      </c>
      <c r="J60" s="60" t="n"/>
    </row>
    <row r="61" ht="15" customHeight="1" s="56">
      <c r="A61" s="90" t="n"/>
      <c r="B61" s="90" t="n"/>
      <c r="C61" s="90" t="n"/>
      <c r="D61" s="91" t="n"/>
      <c r="E61" s="97" t="n"/>
      <c r="F61" s="92" t="n"/>
      <c r="G61" s="93">
        <f>IF(C61="Contract",1,IF(C61="FTE",$B$70,0))</f>
        <v/>
      </c>
      <c r="H61" s="94">
        <f>F61*G61</f>
        <v/>
      </c>
      <c r="I61" s="94">
        <f>D61*H61</f>
        <v/>
      </c>
      <c r="J61" s="60" t="n"/>
    </row>
    <row r="62" ht="15" customHeight="1" s="56">
      <c r="A62" s="90" t="n"/>
      <c r="B62" s="90" t="n"/>
      <c r="C62" s="90" t="n"/>
      <c r="D62" s="91" t="n"/>
      <c r="E62" s="97" t="n"/>
      <c r="F62" s="92" t="n"/>
      <c r="G62" s="93">
        <f>IF(C62="Contract",1,IF(C62="FTE",$B$70,0))</f>
        <v/>
      </c>
      <c r="H62" s="94">
        <f>F62*G62</f>
        <v/>
      </c>
      <c r="I62" s="94">
        <f>D62*H62</f>
        <v/>
      </c>
      <c r="J62" s="60" t="n"/>
    </row>
    <row r="63" ht="15" customHeight="1" s="56">
      <c r="A63" s="90" t="n"/>
      <c r="B63" s="90" t="n"/>
      <c r="C63" s="90" t="n"/>
      <c r="D63" s="91" t="n"/>
      <c r="E63" s="97" t="n"/>
      <c r="F63" s="92" t="n"/>
      <c r="G63" s="93">
        <f>IF(C63="Contract",1,IF(C63="FTE",$B$70,0))</f>
        <v/>
      </c>
      <c r="H63" s="94">
        <f>F63*G63</f>
        <v/>
      </c>
      <c r="I63" s="94">
        <f>D63*H63</f>
        <v/>
      </c>
      <c r="J63" s="60" t="n"/>
    </row>
    <row r="64" ht="15" customHeight="1" s="56">
      <c r="A64" s="90" t="n"/>
      <c r="B64" s="90" t="n"/>
      <c r="C64" s="90" t="n"/>
      <c r="D64" s="91" t="n"/>
      <c r="E64" s="97" t="n"/>
      <c r="F64" s="92" t="n"/>
      <c r="G64" s="93">
        <f>IF(C64="Contract",1,IF(C64="FTE",$B$70,0))</f>
        <v/>
      </c>
      <c r="H64" s="94">
        <f>F64*G64</f>
        <v/>
      </c>
      <c r="I64" s="94">
        <f>D64*H64</f>
        <v/>
      </c>
      <c r="J64" s="60" t="n"/>
    </row>
    <row r="65" ht="15" customHeight="1" s="56">
      <c r="A65" s="90" t="n"/>
      <c r="B65" s="90" t="n"/>
      <c r="C65" s="90" t="n"/>
      <c r="D65" s="91" t="n"/>
      <c r="E65" s="97" t="n"/>
      <c r="F65" s="92" t="n"/>
      <c r="G65" s="93">
        <f>IF(C65="Contract",1,IF(C65="FTE",$B$70,0))</f>
        <v/>
      </c>
      <c r="H65" s="94">
        <f>F65*G65</f>
        <v/>
      </c>
      <c r="I65" s="94">
        <f>D65*H65</f>
        <v/>
      </c>
      <c r="J65" s="60" t="n"/>
    </row>
    <row r="66" ht="15" customHeight="1" s="56">
      <c r="A66" s="90" t="n"/>
      <c r="B66" s="90" t="n"/>
      <c r="C66" s="90" t="n"/>
      <c r="D66" s="91" t="n"/>
      <c r="E66" s="97" t="n"/>
      <c r="F66" s="92" t="n"/>
      <c r="G66" s="93">
        <f>IF(C66="Contract",1,IF(C66="FTE",$B$70,0))</f>
        <v/>
      </c>
      <c r="H66" s="94">
        <f>F66*G66</f>
        <v/>
      </c>
      <c r="I66" s="94">
        <f>D66*H66</f>
        <v/>
      </c>
      <c r="J66" s="60" t="n"/>
    </row>
    <row r="67" ht="15" customHeight="1" s="56">
      <c r="A67" s="68" t="inlineStr">
        <is>
          <t>Total planned hires</t>
        </is>
      </c>
      <c r="D67" s="95">
        <f>SUM(D37:D66)</f>
        <v/>
      </c>
      <c r="I67" s="96">
        <f>SUM(I37:I66)</f>
        <v/>
      </c>
    </row>
    <row r="70" ht="15" customHeight="1" s="56">
      <c r="A70" s="68" t="inlineStr">
        <is>
          <t>Load factor for FTEs (payroll taxes, health, 401k)</t>
        </is>
      </c>
      <c r="B70" s="98" t="n">
        <v>1.25</v>
      </c>
    </row>
    <row r="71" ht="15" customHeight="1" s="56">
      <c r="A71" s="58" t="inlineStr">
        <is>
          <t>Salaries are estimates for a San Francisco AI lab in 2026; replace with real bands if you learn them. Grey-shaded cells are inputs.</t>
        </is>
      </c>
    </row>
  </sheetData>
  <dataValidations count="1">
    <dataValidation sqref="C17:C31 C37:C66" showDropDown="0" showInputMessage="0" showErrorMessage="0" allowBlank="1" type="list" errorStyle="stop" operator="between">
      <formula1>"FTE,Contract"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55" min="1" max="1"/>
    <col width="22" customWidth="1" style="55" min="2" max="2"/>
    <col width="14" customWidth="1" style="55" min="3" max="3"/>
    <col width="62" customWidth="1" style="55" min="4" max="4"/>
  </cols>
  <sheetData>
    <row r="1" ht="17.35" customHeight="1" s="56">
      <c r="A1" s="57" t="inlineStr">
        <is>
          <t>Unit economics: what one token and one decision cost vs. earn</t>
        </is>
      </c>
    </row>
    <row r="2" ht="15" customHeight="1" s="56">
      <c r="A2" s="58" t="inlineStr">
        <is>
          <t>All cells are formulas off Assumptions and Prices. Change the dropdowns on Assumptions to switch GPU, precision, workload and LLM.</t>
        </is>
      </c>
    </row>
    <row r="4" ht="15" customHeight="1" s="56">
      <c r="A4" s="59" t="inlineStr">
        <is>
          <t>Line item</t>
        </is>
      </c>
      <c r="B4" s="59" t="inlineStr">
        <is>
          <t>Value</t>
        </is>
      </c>
      <c r="C4" s="59" t="inlineStr">
        <is>
          <t>Unit</t>
        </is>
      </c>
      <c r="D4" s="59" t="inlineStr">
        <is>
          <t>How it's calculated</t>
        </is>
      </c>
    </row>
    <row r="5" ht="15" customHeight="1" s="56">
      <c r="A5" s="69" t="inlineStr">
        <is>
          <t>1. Cost to serve</t>
        </is>
      </c>
      <c r="B5" s="70" t="n"/>
      <c r="C5" s="70" t="n"/>
      <c r="D5" s="70" t="n"/>
    </row>
    <row r="6" ht="15" customHeight="1" s="56">
      <c r="A6" s="60" t="inlineStr">
        <is>
          <t>Serving setup selected</t>
        </is>
      </c>
      <c r="B6" s="60">
        <f>Assumptions!$B$12&amp;", "&amp;Assumptions!$B$13&amp;", "&amp;TEXT(Assumptions!$B$19,"0")&amp;"B params"</f>
        <v/>
      </c>
      <c r="C6" s="60" t="n"/>
      <c r="D6" s="60" t="inlineStr">
        <is>
          <t>From Assumptions dropdowns</t>
        </is>
      </c>
    </row>
    <row r="7" ht="15" customHeight="1" s="56">
      <c r="A7" s="60" t="inlineStr">
        <is>
          <t>FLOPs per input token</t>
        </is>
      </c>
      <c r="B7" s="99">
        <f>2*Assumptions!$B$19*1000000000</f>
        <v/>
      </c>
      <c r="C7" s="60" t="inlineStr">
        <is>
          <t>FLOPs</t>
        </is>
      </c>
      <c r="D7" s="60" t="inlineStr">
        <is>
          <t>2 x parameters (one forward pass, no generation loop)</t>
        </is>
      </c>
    </row>
    <row r="8" ht="15" customHeight="1" s="56">
      <c r="A8" s="60" t="inlineStr">
        <is>
          <t>Effective FLOP/s per GPU</t>
        </is>
      </c>
      <c r="B8" s="99">
        <f>Assumptions!$B$16*1000000000000*Assumptions!$B$17</f>
        <v/>
      </c>
      <c r="C8" s="60" t="inlineStr">
        <is>
          <t>FLOP / s</t>
        </is>
      </c>
      <c r="D8" s="60" t="inlineStr">
        <is>
          <t>Dense peak x MFU</t>
        </is>
      </c>
    </row>
    <row r="9" ht="15" customHeight="1" s="56">
      <c r="A9" s="60" t="inlineStr">
        <is>
          <t>Tokens per second per GPU (when busy)</t>
        </is>
      </c>
      <c r="B9" s="78">
        <f>B8/B7/Assumptions!$B$20</f>
        <v/>
      </c>
      <c r="C9" s="60" t="inlineStr">
        <is>
          <t>tokens / s</t>
        </is>
      </c>
      <c r="D9" s="60" t="inlineStr">
        <is>
          <t>Effective FLOP/s / FLOPs per token / overhead</t>
        </is>
      </c>
    </row>
    <row r="10" ht="15" customHeight="1" s="56">
      <c r="A10" s="60" t="inlineStr">
        <is>
          <t>Tokens per GPU-hour (when busy)</t>
        </is>
      </c>
      <c r="B10" s="78">
        <f>B9*3600</f>
        <v/>
      </c>
      <c r="C10" s="60" t="inlineStr">
        <is>
          <t>tokens</t>
        </is>
      </c>
      <c r="D10" s="60" t="n"/>
    </row>
    <row r="11" ht="15" customHeight="1" s="56">
      <c r="A11" s="60" t="inlineStr">
        <is>
          <t>Cost per M tokens at 100% utilization</t>
        </is>
      </c>
      <c r="B11" s="100">
        <f>Assumptions!$B$14/(B10/1000000)</f>
        <v/>
      </c>
      <c r="C11" s="60" t="inlineStr">
        <is>
          <t>$ / M tokens</t>
        </is>
      </c>
      <c r="D11" s="60" t="inlineStr">
        <is>
          <t>GPU rate / M tokens per hour</t>
        </is>
      </c>
    </row>
    <row r="12" ht="15" customHeight="1" s="56">
      <c r="A12" s="60" t="inlineStr">
        <is>
          <t>Cost per M tokens at fleet utilization</t>
        </is>
      </c>
      <c r="B12" s="101">
        <f>B11/Assumptions!$B$18</f>
        <v/>
      </c>
      <c r="C12" s="60" t="inlineStr">
        <is>
          <t>$ / M tokens</t>
        </is>
      </c>
      <c r="D12" s="60" t="inlineStr">
        <is>
          <t>Idle hours still get paid for</t>
        </is>
      </c>
    </row>
    <row r="13" ht="15" customHeight="1" s="56">
      <c r="A13" s="69" t="inlineStr">
        <is>
          <t>2. Price vs. cost</t>
        </is>
      </c>
      <c r="B13" s="70" t="n"/>
      <c r="C13" s="70" t="n"/>
      <c r="D13" s="70" t="n"/>
    </row>
    <row r="14" ht="15" customHeight="1" s="56">
      <c r="A14" s="60" t="inlineStr">
        <is>
          <t>List price</t>
        </is>
      </c>
      <c r="B14" s="100">
        <f>Assumptions!$B$6</f>
        <v/>
      </c>
      <c r="C14" s="60" t="inlineStr">
        <is>
          <t>$ / M tokens</t>
        </is>
      </c>
      <c r="D14" s="60" t="inlineStr">
        <is>
          <t>Linked</t>
        </is>
      </c>
    </row>
    <row r="15" ht="15" customHeight="1" s="56">
      <c r="A15" s="60" t="inlineStr">
        <is>
          <t>Revenue leakage (gateway + payment fees)</t>
        </is>
      </c>
      <c r="B15" s="102">
        <f>Assumptions!$B$41*Assumptions!$B$42+(1-Assumptions!$B$41)*Assumptions!$B$43</f>
        <v/>
      </c>
      <c r="C15" s="60" t="inlineStr">
        <is>
          <t>%</t>
        </is>
      </c>
      <c r="D15" s="60" t="inlineStr">
        <is>
          <t>Gateway share x fee + direct share x processing fee</t>
        </is>
      </c>
    </row>
    <row r="16" ht="15" customHeight="1" s="56">
      <c r="A16" s="60" t="inlineStr">
        <is>
          <t>Net price received</t>
        </is>
      </c>
      <c r="B16" s="101">
        <f>B14*(1-B15)</f>
        <v/>
      </c>
      <c r="C16" s="60" t="inlineStr">
        <is>
          <t>$ / M tokens</t>
        </is>
      </c>
      <c r="D16" s="60" t="inlineStr">
        <is>
          <t>What TypeSafe keeps</t>
        </is>
      </c>
    </row>
    <row r="17" ht="15" customHeight="1" s="56">
      <c r="A17" s="60" t="inlineStr">
        <is>
          <t>Gross profit per M tokens</t>
        </is>
      </c>
      <c r="B17" s="101">
        <f>B16-B12</f>
        <v/>
      </c>
      <c r="C17" s="60" t="inlineStr">
        <is>
          <t>$ / M tokens</t>
        </is>
      </c>
      <c r="D17" s="60" t="inlineStr">
        <is>
          <t>Net price - cost</t>
        </is>
      </c>
    </row>
    <row r="18" ht="15" customHeight="1" s="56">
      <c r="A18" s="60" t="inlineStr">
        <is>
          <t>Gross margin (selected precision)</t>
        </is>
      </c>
      <c r="B18" s="103">
        <f>IF(B16=0,0,B17/B16)</f>
        <v/>
      </c>
      <c r="C18" s="60" t="inlineStr">
        <is>
          <t>%</t>
        </is>
      </c>
      <c r="D18" s="60" t="n"/>
    </row>
    <row r="19" ht="15" customHeight="1" s="56">
      <c r="A19" s="60" t="inlineStr">
        <is>
          <t>Gross margin if served in BF16</t>
        </is>
      </c>
      <c r="B19" s="103">
        <f>IF(B16=0,0,1-(Assumptions!$B$14*2*Assumptions!$B$19*1000000000*Assumptions!$B$20/(INDEX(Prices!$F$6:$F$9,MATCH(Assumptions!$B$12,Prices!$A$6:$A$9,0))*1000000000000*Assumptions!$B$17*3600*Assumptions!$B$18)*1000000)/B16)</f>
        <v/>
      </c>
      <c r="C19" s="60" t="inlineStr">
        <is>
          <t>%</t>
        </is>
      </c>
      <c r="D19" s="60" t="inlineStr">
        <is>
          <t>Same setup, BF16 throughput</t>
        </is>
      </c>
    </row>
    <row r="20" ht="15" customHeight="1" s="56">
      <c r="A20" s="60" t="inlineStr">
        <is>
          <t>Gross margin if served in FP8</t>
        </is>
      </c>
      <c r="B20" s="103">
        <f>IF(B16=0,0,1-(Assumptions!$B$14*2*Assumptions!$B$19*1000000000*Assumptions!$B$20/(INDEX(Prices!$G$6:$G$9,MATCH(Assumptions!$B$12,Prices!$A$6:$A$9,0))*1000000000000*Assumptions!$B$17*3600*Assumptions!$B$18)*1000000)/B16)</f>
        <v/>
      </c>
      <c r="C20" s="60" t="inlineStr">
        <is>
          <t>%</t>
        </is>
      </c>
      <c r="D20" s="60" t="inlineStr">
        <is>
          <t>Same setup, FP8 throughput</t>
        </is>
      </c>
    </row>
    <row r="21" ht="15" customHeight="1" s="56">
      <c r="A21" s="60" t="inlineStr">
        <is>
          <t>Net revenue per GPU-hour, fully busy</t>
        </is>
      </c>
      <c r="B21" s="77">
        <f>B10/1000000*B16</f>
        <v/>
      </c>
      <c r="C21" s="60" t="inlineStr">
        <is>
          <t>$ / GPU-hour</t>
        </is>
      </c>
      <c r="D21" s="60" t="inlineStr">
        <is>
          <t>Ceiling on what one GPU can earn</t>
        </is>
      </c>
    </row>
    <row r="22" ht="15" customHeight="1" s="56">
      <c r="A22" s="60" t="inlineStr">
        <is>
          <t>Net revenue per paid GPU-hour at fleet utilization</t>
        </is>
      </c>
      <c r="B22" s="77">
        <f>B21*Assumptions!$B$18</f>
        <v/>
      </c>
      <c r="C22" s="60" t="inlineStr">
        <is>
          <t>$ / GPU-hour</t>
        </is>
      </c>
      <c r="D22" s="60" t="inlineStr">
        <is>
          <t>Compare with the GPU rate</t>
        </is>
      </c>
    </row>
    <row r="23" ht="15" customHeight="1" s="56">
      <c r="A23" s="60" t="inlineStr">
        <is>
          <t>Break-even model size at this utilization</t>
        </is>
      </c>
      <c r="B23" s="89">
        <f>B16/1000000*Assumptions!$B$16*1000000000000*Assumptions!$B$17*3600*Assumptions!$B$18/(Assumptions!$B$14*2*Assumptions!$B$20)/1000000000</f>
        <v/>
      </c>
      <c r="C23" s="60" t="inlineStr">
        <is>
          <t>B parameters</t>
        </is>
      </c>
      <c r="D23" s="60" t="inlineStr">
        <is>
          <t>Largest model that still covers compute at list price</t>
        </is>
      </c>
    </row>
    <row r="24" ht="15" customHeight="1" s="56">
      <c r="A24" s="60" t="inlineStr">
        <is>
          <t>Break-even utilization at this model size</t>
        </is>
      </c>
      <c r="B24" s="102">
        <f>IF(B16=0,0,B11/B16)</f>
        <v/>
      </c>
      <c r="C24" s="60" t="inlineStr">
        <is>
          <t>%</t>
        </is>
      </c>
      <c r="D24" s="60" t="inlineStr">
        <is>
          <t>Above 100% = can't break even at any utilization</t>
        </is>
      </c>
    </row>
    <row r="25" ht="15" customHeight="1" s="56">
      <c r="A25" s="69" t="inlineStr">
        <is>
          <t>3. Per decision</t>
        </is>
      </c>
      <c r="B25" s="70" t="n"/>
      <c r="C25" s="70" t="n"/>
      <c r="D25" s="70" t="n"/>
    </row>
    <row r="26" ht="15" customHeight="1" s="56">
      <c r="A26" s="60" t="inlineStr">
        <is>
          <t>Tokens per decision implied by Doom demo</t>
        </is>
      </c>
      <c r="B26" s="78">
        <f>Assumptions!$B$8/(Assumptions!$B$9*3600)/(Assumptions!$B$6/1000000)</f>
        <v/>
      </c>
      <c r="C26" s="60" t="inlineStr">
        <is>
          <t>tokens</t>
        </is>
      </c>
      <c r="D26" s="60" t="inlineStr">
        <is>
          <t>$7/hr / 36,000 queries / price per token</t>
        </is>
      </c>
    </row>
    <row r="27" ht="15" customHeight="1" s="56">
      <c r="A27" s="60" t="inlineStr">
        <is>
          <t>Tokens per decision, sample finance workloads</t>
        </is>
      </c>
      <c r="B27" s="84">
        <f>LiveTest!$E$13</f>
        <v/>
      </c>
      <c r="C27" s="60" t="inlineStr">
        <is>
          <t>tokens</t>
        </is>
      </c>
      <c r="D27" s="60" t="inlineStr">
        <is>
          <t>Average of six workloads counted offline (LiveTest)</t>
        </is>
      </c>
    </row>
    <row r="28" ht="15" customHeight="1" s="56">
      <c r="A28" s="60" t="inlineStr">
        <is>
          <t>Tokens per decision used</t>
        </is>
      </c>
      <c r="B28" s="84">
        <f>Assumptions!$B$23</f>
        <v/>
      </c>
      <c r="C28" s="60" t="inlineStr">
        <is>
          <t>tokens</t>
        </is>
      </c>
      <c r="D28" s="60">
        <f>"Source: "&amp;Assumptions!$B$22</f>
        <v/>
      </c>
    </row>
    <row r="29" ht="15" customHeight="1" s="56">
      <c r="A29" s="60" t="inlineStr">
        <is>
          <t>Jev list price per decision</t>
        </is>
      </c>
      <c r="B29" s="104">
        <f>B28/1000000*B14</f>
        <v/>
      </c>
      <c r="C29" s="60" t="inlineStr">
        <is>
          <t>$</t>
        </is>
      </c>
      <c r="D29" s="60" t="n"/>
    </row>
    <row r="30" ht="15" customHeight="1" s="56">
      <c r="A30" s="60" t="inlineStr">
        <is>
          <t>Jev cost to serve per decision</t>
        </is>
      </c>
      <c r="B30" s="104">
        <f>B28/1000000*B12</f>
        <v/>
      </c>
      <c r="C30" s="60" t="inlineStr">
        <is>
          <t>$</t>
        </is>
      </c>
      <c r="D30" s="60" t="n"/>
    </row>
    <row r="31" ht="15" customHeight="1" s="56">
      <c r="A31" s="60" t="inlineStr">
        <is>
          <t>Decisions per $1 of list revenue</t>
        </is>
      </c>
      <c r="B31" s="78">
        <f>IF(B29=0,0,1/B29)</f>
        <v/>
      </c>
      <c r="C31" s="60" t="inlineStr">
        <is>
          <t>decisions</t>
        </is>
      </c>
      <c r="D31" s="60" t="n"/>
    </row>
    <row r="32" ht="15" customHeight="1" s="56">
      <c r="A32" s="60" t="inlineStr">
        <is>
          <t>Decisions covered by free signup credit</t>
        </is>
      </c>
      <c r="B32" s="78">
        <f>IF(B29=0,0,Assumptions!$B$10/B29)</f>
        <v/>
      </c>
      <c r="C32" s="60" t="inlineStr">
        <is>
          <t>decisions</t>
        </is>
      </c>
      <c r="D32" s="60" t="n"/>
    </row>
    <row r="33" ht="15" customHeight="1" s="56">
      <c r="A33" s="69" t="inlineStr">
        <is>
          <t>4. Customer savings vs. LLMs</t>
        </is>
      </c>
      <c r="B33" s="70" t="n"/>
      <c r="C33" s="70" t="n"/>
      <c r="D33" s="70" t="n"/>
    </row>
    <row r="34" ht="15" customHeight="1" s="56">
      <c r="A34" s="60" t="inlineStr">
        <is>
          <t>Case 1 model (fast)</t>
        </is>
      </c>
      <c r="B34" s="105">
        <f>Assumptions!$B$24</f>
        <v/>
      </c>
      <c r="C34" s="60" t="n"/>
      <c r="D34" s="60" t="inlineStr">
        <is>
          <t>Assumptions dropdown</t>
        </is>
      </c>
    </row>
    <row r="35" ht="15" customHeight="1" s="56">
      <c r="A35" s="60" t="inlineStr">
        <is>
          <t>Case 1 price per decision</t>
        </is>
      </c>
      <c r="B35" s="104">
        <f>(B28+Assumptions!$B$26)/1000000*INDEX(Prices!$B$14:$B$21,MATCH(Assumptions!$B$24,Prices!$A$14:$A$21,0))+(INDEX(Prices!$E$14:$E$21,MATCH(Assumptions!$B$24,Prices!$A$14:$A$21,0))+INDEX(Prices!$F$14:$F$21,MATCH(Assumptions!$B$24,Prices!$A$14:$A$21,0)))/1000000*INDEX(Prices!$C$14:$C$21,MATCH(Assumptions!$B$24,Prices!$A$14:$A$21,0))</f>
        <v/>
      </c>
      <c r="C35" s="60" t="inlineStr">
        <is>
          <t>$</t>
        </is>
      </c>
      <c r="D35" s="60" t="inlineStr">
        <is>
          <t>Input incl. format instructions + output + reasoning tokens</t>
        </is>
      </c>
    </row>
    <row r="36" ht="15" customHeight="1" s="56">
      <c r="A36" s="60" t="inlineStr">
        <is>
          <t>Case 1: LLM price / Jev price</t>
        </is>
      </c>
      <c r="B36" s="106">
        <f>IF(B29=0,0,B35/B29)</f>
        <v/>
      </c>
      <c r="C36" s="60" t="inlineStr">
        <is>
          <t>x</t>
        </is>
      </c>
      <c r="D36" s="60" t="inlineStr">
        <is>
          <t>Customer's savings multiple</t>
        </is>
      </c>
    </row>
    <row r="37" ht="15" customHeight="1" s="56">
      <c r="A37" s="60" t="inlineStr">
        <is>
          <t>Case 2 model (reasoning)</t>
        </is>
      </c>
      <c r="B37" s="105">
        <f>Assumptions!$B$25</f>
        <v/>
      </c>
      <c r="C37" s="60" t="n"/>
      <c r="D37" s="60" t="inlineStr">
        <is>
          <t>Assumptions dropdown</t>
        </is>
      </c>
    </row>
    <row r="38" ht="15" customHeight="1" s="56">
      <c r="A38" s="60" t="inlineStr">
        <is>
          <t>Case 2 price per decision</t>
        </is>
      </c>
      <c r="B38" s="104">
        <f>(B28+Assumptions!$B$26)/1000000*INDEX(Prices!$B$14:$B$21,MATCH(Assumptions!$B$25,Prices!$A$14:$A$21,0))+(INDEX(Prices!$E$14:$E$21,MATCH(Assumptions!$B$25,Prices!$A$14:$A$21,0))+INDEX(Prices!$F$14:$F$21,MATCH(Assumptions!$B$25,Prices!$A$14:$A$21,0)))/1000000*INDEX(Prices!$C$14:$C$21,MATCH(Assumptions!$B$25,Prices!$A$14:$A$21,0))</f>
        <v/>
      </c>
      <c r="C38" s="60" t="inlineStr">
        <is>
          <t>$</t>
        </is>
      </c>
      <c r="D38" s="60" t="inlineStr">
        <is>
          <t>Reasoning tokens usually dominate the bill</t>
        </is>
      </c>
    </row>
    <row r="39" ht="15" customHeight="1" s="56">
      <c r="A39" s="60" t="inlineStr">
        <is>
          <t>Case 2: LLM price / Jev price</t>
        </is>
      </c>
      <c r="B39" s="106">
        <f>IF(B29=0,0,B38/B29)</f>
        <v/>
      </c>
      <c r="C39" s="60" t="inlineStr">
        <is>
          <t>x</t>
        </is>
      </c>
      <c r="D39" s="60" t="inlineStr">
        <is>
          <t>Compare with TypeSafe's claimed 444x on its workflow evals</t>
        </is>
      </c>
    </row>
    <row r="40" ht="15" customHeight="1" s="56">
      <c r="A40" s="69" t="inlineStr">
        <is>
          <t>5. Capacity commitment test</t>
        </is>
      </c>
      <c r="B40" s="70" t="n"/>
      <c r="C40" s="70" t="n"/>
      <c r="D40" s="70" t="n"/>
    </row>
    <row r="41" ht="15" customHeight="1" s="56">
      <c r="A41" s="60" t="inlineStr">
        <is>
          <t>Utilization needed for reserved capacity to beat on-demand</t>
        </is>
      </c>
      <c r="B41" s="102">
        <f>Assumptions!$B$14/Assumptions!$B$15</f>
        <v/>
      </c>
      <c r="C41" s="60" t="inlineStr">
        <is>
          <t>%</t>
        </is>
      </c>
      <c r="D41" s="60" t="inlineStr">
        <is>
          <t>Reserve only if reserved GPUs will be busier than this; same provider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55" min="1" max="1"/>
    <col width="12" customWidth="1" style="55" min="2" max="8"/>
  </cols>
  <sheetData>
    <row r="1" ht="17.35" customHeight="1" s="56">
      <c r="A1" s="57" t="inlineStr">
        <is>
          <t>Sensitivity: when does the price cover compute?</t>
        </is>
      </c>
    </row>
    <row r="2" ht="15" customHeight="1" s="56">
      <c r="A2" s="58" t="inlineStr">
        <is>
          <t>Grids follow the GPU, precision and other inputs selected on Assumptions. Red = selling below cost.</t>
        </is>
      </c>
    </row>
    <row r="4" ht="15" customHeight="1" s="56">
      <c r="A4" s="68" t="inlineStr">
        <is>
          <t>Table 1. Gross margin by model size (rows, B params) and fleet utilization (columns)</t>
        </is>
      </c>
    </row>
    <row r="5" ht="15" customHeight="1" s="56">
      <c r="A5" s="68" t="inlineStr">
        <is>
          <t>Params (B) \ Util</t>
        </is>
      </c>
      <c r="B5" s="79" t="n">
        <v>0.3</v>
      </c>
      <c r="C5" s="79" t="n">
        <v>0.45</v>
      </c>
      <c r="D5" s="79" t="n">
        <v>0.6</v>
      </c>
      <c r="E5" s="79" t="n">
        <v>0.75</v>
      </c>
      <c r="F5" s="79" t="n">
        <v>0.9</v>
      </c>
    </row>
    <row r="6" ht="15" customHeight="1" s="56">
      <c r="A6" s="74" t="n">
        <v>1</v>
      </c>
      <c r="B6" s="103">
        <f>IF(UnitEcon!$B$16=0,0,1-(Assumptions!$B$14*2*$A6*1000000000*Assumptions!$B$20/(Assumptions!$B$16*1000000000000*Assumptions!$B$17*3600*B$5)*1000000)/UnitEcon!$B$16)</f>
        <v/>
      </c>
      <c r="C6" s="103">
        <f>IF(UnitEcon!$B$16=0,0,1-(Assumptions!$B$14*2*$A6*1000000000*Assumptions!$B$20/(Assumptions!$B$16*1000000000000*Assumptions!$B$17*3600*C$5)*1000000)/UnitEcon!$B$16)</f>
        <v/>
      </c>
      <c r="D6" s="103">
        <f>IF(UnitEcon!$B$16=0,0,1-(Assumptions!$B$14*2*$A6*1000000000*Assumptions!$B$20/(Assumptions!$B$16*1000000000000*Assumptions!$B$17*3600*D$5)*1000000)/UnitEcon!$B$16)</f>
        <v/>
      </c>
      <c r="E6" s="103">
        <f>IF(UnitEcon!$B$16=0,0,1-(Assumptions!$B$14*2*$A6*1000000000*Assumptions!$B$20/(Assumptions!$B$16*1000000000000*Assumptions!$B$17*3600*E$5)*1000000)/UnitEcon!$B$16)</f>
        <v/>
      </c>
      <c r="F6" s="103">
        <f>IF(UnitEcon!$B$16=0,0,1-(Assumptions!$B$14*2*$A6*1000000000*Assumptions!$B$20/(Assumptions!$B$16*1000000000000*Assumptions!$B$17*3600*F$5)*1000000)/UnitEcon!$B$16)</f>
        <v/>
      </c>
    </row>
    <row r="7" ht="15" customHeight="1" s="56">
      <c r="A7" s="74" t="n">
        <v>3</v>
      </c>
      <c r="B7" s="103">
        <f>IF(UnitEcon!$B$16=0,0,1-(Assumptions!$B$14*2*$A7*1000000000*Assumptions!$B$20/(Assumptions!$B$16*1000000000000*Assumptions!$B$17*3600*B$5)*1000000)/UnitEcon!$B$16)</f>
        <v/>
      </c>
      <c r="C7" s="103">
        <f>IF(UnitEcon!$B$16=0,0,1-(Assumptions!$B$14*2*$A7*1000000000*Assumptions!$B$20/(Assumptions!$B$16*1000000000000*Assumptions!$B$17*3600*C$5)*1000000)/UnitEcon!$B$16)</f>
        <v/>
      </c>
      <c r="D7" s="103">
        <f>IF(UnitEcon!$B$16=0,0,1-(Assumptions!$B$14*2*$A7*1000000000*Assumptions!$B$20/(Assumptions!$B$16*1000000000000*Assumptions!$B$17*3600*D$5)*1000000)/UnitEcon!$B$16)</f>
        <v/>
      </c>
      <c r="E7" s="103">
        <f>IF(UnitEcon!$B$16=0,0,1-(Assumptions!$B$14*2*$A7*1000000000*Assumptions!$B$20/(Assumptions!$B$16*1000000000000*Assumptions!$B$17*3600*E$5)*1000000)/UnitEcon!$B$16)</f>
        <v/>
      </c>
      <c r="F7" s="103">
        <f>IF(UnitEcon!$B$16=0,0,1-(Assumptions!$B$14*2*$A7*1000000000*Assumptions!$B$20/(Assumptions!$B$16*1000000000000*Assumptions!$B$17*3600*F$5)*1000000)/UnitEcon!$B$16)</f>
        <v/>
      </c>
    </row>
    <row r="8" ht="15" customHeight="1" s="56">
      <c r="A8" s="74" t="n">
        <v>8</v>
      </c>
      <c r="B8" s="103">
        <f>IF(UnitEcon!$B$16=0,0,1-(Assumptions!$B$14*2*$A8*1000000000*Assumptions!$B$20/(Assumptions!$B$16*1000000000000*Assumptions!$B$17*3600*B$5)*1000000)/UnitEcon!$B$16)</f>
        <v/>
      </c>
      <c r="C8" s="103">
        <f>IF(UnitEcon!$B$16=0,0,1-(Assumptions!$B$14*2*$A8*1000000000*Assumptions!$B$20/(Assumptions!$B$16*1000000000000*Assumptions!$B$17*3600*C$5)*1000000)/UnitEcon!$B$16)</f>
        <v/>
      </c>
      <c r="D8" s="103">
        <f>IF(UnitEcon!$B$16=0,0,1-(Assumptions!$B$14*2*$A8*1000000000*Assumptions!$B$20/(Assumptions!$B$16*1000000000000*Assumptions!$B$17*3600*D$5)*1000000)/UnitEcon!$B$16)</f>
        <v/>
      </c>
      <c r="E8" s="103">
        <f>IF(UnitEcon!$B$16=0,0,1-(Assumptions!$B$14*2*$A8*1000000000*Assumptions!$B$20/(Assumptions!$B$16*1000000000000*Assumptions!$B$17*3600*E$5)*1000000)/UnitEcon!$B$16)</f>
        <v/>
      </c>
      <c r="F8" s="103">
        <f>IF(UnitEcon!$B$16=0,0,1-(Assumptions!$B$14*2*$A8*1000000000*Assumptions!$B$20/(Assumptions!$B$16*1000000000000*Assumptions!$B$17*3600*F$5)*1000000)/UnitEcon!$B$16)</f>
        <v/>
      </c>
    </row>
    <row r="9" ht="15" customHeight="1" s="56">
      <c r="A9" s="74" t="n">
        <v>14</v>
      </c>
      <c r="B9" s="103">
        <f>IF(UnitEcon!$B$16=0,0,1-(Assumptions!$B$14*2*$A9*1000000000*Assumptions!$B$20/(Assumptions!$B$16*1000000000000*Assumptions!$B$17*3600*B$5)*1000000)/UnitEcon!$B$16)</f>
        <v/>
      </c>
      <c r="C9" s="103">
        <f>IF(UnitEcon!$B$16=0,0,1-(Assumptions!$B$14*2*$A9*1000000000*Assumptions!$B$20/(Assumptions!$B$16*1000000000000*Assumptions!$B$17*3600*C$5)*1000000)/UnitEcon!$B$16)</f>
        <v/>
      </c>
      <c r="D9" s="103">
        <f>IF(UnitEcon!$B$16=0,0,1-(Assumptions!$B$14*2*$A9*1000000000*Assumptions!$B$20/(Assumptions!$B$16*1000000000000*Assumptions!$B$17*3600*D$5)*1000000)/UnitEcon!$B$16)</f>
        <v/>
      </c>
      <c r="E9" s="103">
        <f>IF(UnitEcon!$B$16=0,0,1-(Assumptions!$B$14*2*$A9*1000000000*Assumptions!$B$20/(Assumptions!$B$16*1000000000000*Assumptions!$B$17*3600*E$5)*1000000)/UnitEcon!$B$16)</f>
        <v/>
      </c>
      <c r="F9" s="103">
        <f>IF(UnitEcon!$B$16=0,0,1-(Assumptions!$B$14*2*$A9*1000000000*Assumptions!$B$20/(Assumptions!$B$16*1000000000000*Assumptions!$B$17*3600*F$5)*1000000)/UnitEcon!$B$16)</f>
        <v/>
      </c>
    </row>
    <row r="10" ht="15" customHeight="1" s="56">
      <c r="A10" s="74" t="n">
        <v>30</v>
      </c>
      <c r="B10" s="103">
        <f>IF(UnitEcon!$B$16=0,0,1-(Assumptions!$B$14*2*$A10*1000000000*Assumptions!$B$20/(Assumptions!$B$16*1000000000000*Assumptions!$B$17*3600*B$5)*1000000)/UnitEcon!$B$16)</f>
        <v/>
      </c>
      <c r="C10" s="103">
        <f>IF(UnitEcon!$B$16=0,0,1-(Assumptions!$B$14*2*$A10*1000000000*Assumptions!$B$20/(Assumptions!$B$16*1000000000000*Assumptions!$B$17*3600*C$5)*1000000)/UnitEcon!$B$16)</f>
        <v/>
      </c>
      <c r="D10" s="103">
        <f>IF(UnitEcon!$B$16=0,0,1-(Assumptions!$B$14*2*$A10*1000000000*Assumptions!$B$20/(Assumptions!$B$16*1000000000000*Assumptions!$B$17*3600*D$5)*1000000)/UnitEcon!$B$16)</f>
        <v/>
      </c>
      <c r="E10" s="103">
        <f>IF(UnitEcon!$B$16=0,0,1-(Assumptions!$B$14*2*$A10*1000000000*Assumptions!$B$20/(Assumptions!$B$16*1000000000000*Assumptions!$B$17*3600*E$5)*1000000)/UnitEcon!$B$16)</f>
        <v/>
      </c>
      <c r="F10" s="103">
        <f>IF(UnitEcon!$B$16=0,0,1-(Assumptions!$B$14*2*$A10*1000000000*Assumptions!$B$20/(Assumptions!$B$16*1000000000000*Assumptions!$B$17*3600*F$5)*1000000)/UnitEcon!$B$16)</f>
        <v/>
      </c>
    </row>
    <row r="11" ht="15" customHeight="1" s="56">
      <c r="A11" s="74" t="n">
        <v>70</v>
      </c>
      <c r="B11" s="103">
        <f>IF(UnitEcon!$B$16=0,0,1-(Assumptions!$B$14*2*$A11*1000000000*Assumptions!$B$20/(Assumptions!$B$16*1000000000000*Assumptions!$B$17*3600*B$5)*1000000)/UnitEcon!$B$16)</f>
        <v/>
      </c>
      <c r="C11" s="103">
        <f>IF(UnitEcon!$B$16=0,0,1-(Assumptions!$B$14*2*$A11*1000000000*Assumptions!$B$20/(Assumptions!$B$16*1000000000000*Assumptions!$B$17*3600*C$5)*1000000)/UnitEcon!$B$16)</f>
        <v/>
      </c>
      <c r="D11" s="103">
        <f>IF(UnitEcon!$B$16=0,0,1-(Assumptions!$B$14*2*$A11*1000000000*Assumptions!$B$20/(Assumptions!$B$16*1000000000000*Assumptions!$B$17*3600*D$5)*1000000)/UnitEcon!$B$16)</f>
        <v/>
      </c>
      <c r="E11" s="103">
        <f>IF(UnitEcon!$B$16=0,0,1-(Assumptions!$B$14*2*$A11*1000000000*Assumptions!$B$20/(Assumptions!$B$16*1000000000000*Assumptions!$B$17*3600*E$5)*1000000)/UnitEcon!$B$16)</f>
        <v/>
      </c>
      <c r="F11" s="103">
        <f>IF(UnitEcon!$B$16=0,0,1-(Assumptions!$B$14*2*$A11*1000000000*Assumptions!$B$20/(Assumptions!$B$16*1000000000000*Assumptions!$B$17*3600*F$5)*1000000)/UnitEcon!$B$16)</f>
        <v/>
      </c>
    </row>
    <row r="13" ht="15" customHeight="1" s="56">
      <c r="A13" s="68" t="inlineStr">
        <is>
          <t>Table 2. Gross margin by GPU (rows) and precision (columns), at selected model size and utilization</t>
        </is>
      </c>
    </row>
    <row r="14" ht="15" customHeight="1" s="56">
      <c r="A14" s="68" t="inlineStr">
        <is>
          <t>GPU \ Precision</t>
        </is>
      </c>
      <c r="B14" s="68" t="inlineStr">
        <is>
          <t>BF16</t>
        </is>
      </c>
      <c r="C14" s="68" t="inlineStr">
        <is>
          <t>FP8</t>
        </is>
      </c>
    </row>
    <row r="15" ht="15" customHeight="1" s="56">
      <c r="A15" s="60" t="inlineStr">
        <is>
          <t>H100 SXM</t>
        </is>
      </c>
      <c r="B15" s="103">
        <f>IF(UnitEcon!$B$16=0,0,1-(INDEX(Prices!$B$6:$B$9,MATCH($A15,Prices!$A$6:$A$9,0))*2*Assumptions!$B$19*1000000000*Assumptions!$B$20/(INDEX(Prices!$F$6:$F$9,MATCH($A15,Prices!$A$6:$A$9,0))*1000000000000*Assumptions!$B$17*3600*Assumptions!$B$18)*1000000)/UnitEcon!$B$16)</f>
        <v/>
      </c>
      <c r="C15" s="103">
        <f>IF(UnitEcon!$B$16=0,0,1-(INDEX(Prices!$B$6:$B$9,MATCH($A15,Prices!$A$6:$A$9,0))*2*Assumptions!$B$19*1000000000*Assumptions!$B$20/(INDEX(Prices!$G$6:$G$9,MATCH($A15,Prices!$A$6:$A$9,0))*1000000000000*Assumptions!$B$17*3600*Assumptions!$B$18)*1000000)/UnitEcon!$B$16)</f>
        <v/>
      </c>
    </row>
    <row r="16" ht="15" customHeight="1" s="56">
      <c r="A16" s="60" t="inlineStr">
        <is>
          <t>H200</t>
        </is>
      </c>
      <c r="B16" s="103">
        <f>IF(UnitEcon!$B$16=0,0,1-(INDEX(Prices!$B$6:$B$9,MATCH($A16,Prices!$A$6:$A$9,0))*2*Assumptions!$B$19*1000000000*Assumptions!$B$20/(INDEX(Prices!$F$6:$F$9,MATCH($A16,Prices!$A$6:$A$9,0))*1000000000000*Assumptions!$B$17*3600*Assumptions!$B$18)*1000000)/UnitEcon!$B$16)</f>
        <v/>
      </c>
      <c r="C16" s="103">
        <f>IF(UnitEcon!$B$16=0,0,1-(INDEX(Prices!$B$6:$B$9,MATCH($A16,Prices!$A$6:$A$9,0))*2*Assumptions!$B$19*1000000000*Assumptions!$B$20/(INDEX(Prices!$G$6:$G$9,MATCH($A16,Prices!$A$6:$A$9,0))*1000000000000*Assumptions!$B$17*3600*Assumptions!$B$18)*1000000)/UnitEcon!$B$16)</f>
        <v/>
      </c>
    </row>
    <row r="17" ht="15" customHeight="1" s="56">
      <c r="A17" s="60" t="inlineStr">
        <is>
          <t>B200</t>
        </is>
      </c>
      <c r="B17" s="103">
        <f>IF(UnitEcon!$B$16=0,0,1-(INDEX(Prices!$B$6:$B$9,MATCH($A17,Prices!$A$6:$A$9,0))*2*Assumptions!$B$19*1000000000*Assumptions!$B$20/(INDEX(Prices!$F$6:$F$9,MATCH($A17,Prices!$A$6:$A$9,0))*1000000000000*Assumptions!$B$17*3600*Assumptions!$B$18)*1000000)/UnitEcon!$B$16)</f>
        <v/>
      </c>
      <c r="C17" s="103">
        <f>IF(UnitEcon!$B$16=0,0,1-(INDEX(Prices!$B$6:$B$9,MATCH($A17,Prices!$A$6:$A$9,0))*2*Assumptions!$B$19*1000000000*Assumptions!$B$20/(INDEX(Prices!$G$6:$G$9,MATCH($A17,Prices!$A$6:$A$9,0))*1000000000000*Assumptions!$B$17*3600*Assumptions!$B$18)*1000000)/UnitEcon!$B$16)</f>
        <v/>
      </c>
    </row>
    <row r="18" ht="15" customHeight="1" s="56">
      <c r="A18" s="60" t="inlineStr">
        <is>
          <t>B300</t>
        </is>
      </c>
      <c r="B18" s="103">
        <f>IF(UnitEcon!$B$16=0,0,1-(INDEX(Prices!$B$6:$B$9,MATCH($A18,Prices!$A$6:$A$9,0))*2*Assumptions!$B$19*1000000000*Assumptions!$B$20/(INDEX(Prices!$F$6:$F$9,MATCH($A18,Prices!$A$6:$A$9,0))*1000000000000*Assumptions!$B$17*3600*Assumptions!$B$18)*1000000)/UnitEcon!$B$16)</f>
        <v/>
      </c>
      <c r="C18" s="103">
        <f>IF(UnitEcon!$B$16=0,0,1-(INDEX(Prices!$B$6:$B$9,MATCH($A18,Prices!$A$6:$A$9,0))*2*Assumptions!$B$19*1000000000*Assumptions!$B$20/(INDEX(Prices!$G$6:$G$9,MATCH($A18,Prices!$A$6:$A$9,0))*1000000000000*Assumptions!$B$17*3600*Assumptions!$B$18)*1000000)/UnitEcon!$B$16)</f>
        <v/>
      </c>
    </row>
    <row r="20" ht="15" customHeight="1" s="56">
      <c r="A20" s="68" t="inlineStr">
        <is>
          <t>Table 3. Cost to serve ($ per M tokens) by GPU rate (rows) and model size (columns), selected GPU and precision</t>
        </is>
      </c>
    </row>
    <row r="21" ht="15" customHeight="1" s="56">
      <c r="A21" s="68" t="inlineStr">
        <is>
          <t>GPU $/hr \ Params (B)</t>
        </is>
      </c>
      <c r="B21" s="74" t="n">
        <v>1</v>
      </c>
      <c r="C21" s="74" t="n">
        <v>3</v>
      </c>
      <c r="D21" s="74" t="n">
        <v>8</v>
      </c>
      <c r="E21" s="74" t="n">
        <v>14</v>
      </c>
      <c r="F21" s="74" t="n">
        <v>30</v>
      </c>
      <c r="G21" s="74" t="n">
        <v>70</v>
      </c>
    </row>
    <row r="22" ht="15" customHeight="1" s="56">
      <c r="A22" s="73" t="n">
        <v>1.79</v>
      </c>
      <c r="B22" s="101">
        <f>$A22*2*B$21*1000000000*Assumptions!$B$20/(Assumptions!$B$16*1000000000000*Assumptions!$B$17*3600*Assumptions!$B$18)*1000000</f>
        <v/>
      </c>
      <c r="C22" s="101">
        <f>$A22*2*C$21*1000000000*Assumptions!$B$20/(Assumptions!$B$16*1000000000000*Assumptions!$B$17*3600*Assumptions!$B$18)*1000000</f>
        <v/>
      </c>
      <c r="D22" s="101">
        <f>$A22*2*D$21*1000000000*Assumptions!$B$20/(Assumptions!$B$16*1000000000000*Assumptions!$B$17*3600*Assumptions!$B$18)*1000000</f>
        <v/>
      </c>
      <c r="E22" s="101">
        <f>$A22*2*E$21*1000000000*Assumptions!$B$20/(Assumptions!$B$16*1000000000000*Assumptions!$B$17*3600*Assumptions!$B$18)*1000000</f>
        <v/>
      </c>
      <c r="F22" s="101">
        <f>$A22*2*F$21*1000000000*Assumptions!$B$20/(Assumptions!$B$16*1000000000000*Assumptions!$B$17*3600*Assumptions!$B$18)*1000000</f>
        <v/>
      </c>
      <c r="G22" s="101">
        <f>$A22*2*G$21*1000000000*Assumptions!$B$20/(Assumptions!$B$16*1000000000000*Assumptions!$B$17*3600*Assumptions!$B$18)*1000000</f>
        <v/>
      </c>
    </row>
    <row r="23" ht="15" customHeight="1" s="56">
      <c r="A23" s="73" t="n">
        <v>2.25</v>
      </c>
      <c r="B23" s="101">
        <f>$A23*2*B$21*1000000000*Assumptions!$B$20/(Assumptions!$B$16*1000000000000*Assumptions!$B$17*3600*Assumptions!$B$18)*1000000</f>
        <v/>
      </c>
      <c r="C23" s="101">
        <f>$A23*2*C$21*1000000000*Assumptions!$B$20/(Assumptions!$B$16*1000000000000*Assumptions!$B$17*3600*Assumptions!$B$18)*1000000</f>
        <v/>
      </c>
      <c r="D23" s="101">
        <f>$A23*2*D$21*1000000000*Assumptions!$B$20/(Assumptions!$B$16*1000000000000*Assumptions!$B$17*3600*Assumptions!$B$18)*1000000</f>
        <v/>
      </c>
      <c r="E23" s="101">
        <f>$A23*2*E$21*1000000000*Assumptions!$B$20/(Assumptions!$B$16*1000000000000*Assumptions!$B$17*3600*Assumptions!$B$18)*1000000</f>
        <v/>
      </c>
      <c r="F23" s="101">
        <f>$A23*2*F$21*1000000000*Assumptions!$B$20/(Assumptions!$B$16*1000000000000*Assumptions!$B$17*3600*Assumptions!$B$18)*1000000</f>
        <v/>
      </c>
      <c r="G23" s="101">
        <f>$A23*2*G$21*1000000000*Assumptions!$B$20/(Assumptions!$B$16*1000000000000*Assumptions!$B$17*3600*Assumptions!$B$18)*1000000</f>
        <v/>
      </c>
    </row>
    <row r="24" ht="15" customHeight="1" s="56">
      <c r="A24" s="73" t="n">
        <v>2.5</v>
      </c>
      <c r="B24" s="101">
        <f>$A24*2*B$21*1000000000*Assumptions!$B$20/(Assumptions!$B$16*1000000000000*Assumptions!$B$17*3600*Assumptions!$B$18)*1000000</f>
        <v/>
      </c>
      <c r="C24" s="101">
        <f>$A24*2*C$21*1000000000*Assumptions!$B$20/(Assumptions!$B$16*1000000000000*Assumptions!$B$17*3600*Assumptions!$B$18)*1000000</f>
        <v/>
      </c>
      <c r="D24" s="101">
        <f>$A24*2*D$21*1000000000*Assumptions!$B$20/(Assumptions!$B$16*1000000000000*Assumptions!$B$17*3600*Assumptions!$B$18)*1000000</f>
        <v/>
      </c>
      <c r="E24" s="101">
        <f>$A24*2*E$21*1000000000*Assumptions!$B$20/(Assumptions!$B$16*1000000000000*Assumptions!$B$17*3600*Assumptions!$B$18)*1000000</f>
        <v/>
      </c>
      <c r="F24" s="101">
        <f>$A24*2*F$21*1000000000*Assumptions!$B$20/(Assumptions!$B$16*1000000000000*Assumptions!$B$17*3600*Assumptions!$B$18)*1000000</f>
        <v/>
      </c>
      <c r="G24" s="101">
        <f>$A24*2*G$21*1000000000*Assumptions!$B$20/(Assumptions!$B$16*1000000000000*Assumptions!$B$17*3600*Assumptions!$B$18)*1000000</f>
        <v/>
      </c>
    </row>
    <row r="25" ht="15" customHeight="1" s="56">
      <c r="A25" s="73" t="n">
        <v>3</v>
      </c>
      <c r="B25" s="101">
        <f>$A25*2*B$21*1000000000*Assumptions!$B$20/(Assumptions!$B$16*1000000000000*Assumptions!$B$17*3600*Assumptions!$B$18)*1000000</f>
        <v/>
      </c>
      <c r="C25" s="101">
        <f>$A25*2*C$21*1000000000*Assumptions!$B$20/(Assumptions!$B$16*1000000000000*Assumptions!$B$17*3600*Assumptions!$B$18)*1000000</f>
        <v/>
      </c>
      <c r="D25" s="101">
        <f>$A25*2*D$21*1000000000*Assumptions!$B$20/(Assumptions!$B$16*1000000000000*Assumptions!$B$17*3600*Assumptions!$B$18)*1000000</f>
        <v/>
      </c>
      <c r="E25" s="101">
        <f>$A25*2*E$21*1000000000*Assumptions!$B$20/(Assumptions!$B$16*1000000000000*Assumptions!$B$17*3600*Assumptions!$B$18)*1000000</f>
        <v/>
      </c>
      <c r="F25" s="101">
        <f>$A25*2*F$21*1000000000*Assumptions!$B$20/(Assumptions!$B$16*1000000000000*Assumptions!$B$17*3600*Assumptions!$B$18)*1000000</f>
        <v/>
      </c>
      <c r="G25" s="101">
        <f>$A25*2*G$21*1000000000*Assumptions!$B$20/(Assumptions!$B$16*1000000000000*Assumptions!$B$17*3600*Assumptions!$B$18)*1000000</f>
        <v/>
      </c>
    </row>
    <row r="26" ht="15" customHeight="1" s="56">
      <c r="A26" s="73" t="n">
        <v>3.84</v>
      </c>
      <c r="B26" s="101">
        <f>$A26*2*B$21*1000000000*Assumptions!$B$20/(Assumptions!$B$16*1000000000000*Assumptions!$B$17*3600*Assumptions!$B$18)*1000000</f>
        <v/>
      </c>
      <c r="C26" s="101">
        <f>$A26*2*C$21*1000000000*Assumptions!$B$20/(Assumptions!$B$16*1000000000000*Assumptions!$B$17*3600*Assumptions!$B$18)*1000000</f>
        <v/>
      </c>
      <c r="D26" s="101">
        <f>$A26*2*D$21*1000000000*Assumptions!$B$20/(Assumptions!$B$16*1000000000000*Assumptions!$B$17*3600*Assumptions!$B$18)*1000000</f>
        <v/>
      </c>
      <c r="E26" s="101">
        <f>$A26*2*E$21*1000000000*Assumptions!$B$20/(Assumptions!$B$16*1000000000000*Assumptions!$B$17*3600*Assumptions!$B$18)*1000000</f>
        <v/>
      </c>
      <c r="F26" s="101">
        <f>$A26*2*F$21*1000000000*Assumptions!$B$20/(Assumptions!$B$16*1000000000000*Assumptions!$B$17*3600*Assumptions!$B$18)*1000000</f>
        <v/>
      </c>
      <c r="G26" s="101">
        <f>$A26*2*G$21*1000000000*Assumptions!$B$20/(Assumptions!$B$16*1000000000000*Assumptions!$B$17*3600*Assumptions!$B$18)*1000000</f>
        <v/>
      </c>
    </row>
    <row r="27" ht="15" customHeight="1" s="56">
      <c r="A27" s="73" t="n">
        <v>5</v>
      </c>
      <c r="B27" s="101">
        <f>$A27*2*B$21*1000000000*Assumptions!$B$20/(Assumptions!$B$16*1000000000000*Assumptions!$B$17*3600*Assumptions!$B$18)*1000000</f>
        <v/>
      </c>
      <c r="C27" s="101">
        <f>$A27*2*C$21*1000000000*Assumptions!$B$20/(Assumptions!$B$16*1000000000000*Assumptions!$B$17*3600*Assumptions!$B$18)*1000000</f>
        <v/>
      </c>
      <c r="D27" s="101">
        <f>$A27*2*D$21*1000000000*Assumptions!$B$20/(Assumptions!$B$16*1000000000000*Assumptions!$B$17*3600*Assumptions!$B$18)*1000000</f>
        <v/>
      </c>
      <c r="E27" s="101">
        <f>$A27*2*E$21*1000000000*Assumptions!$B$20/(Assumptions!$B$16*1000000000000*Assumptions!$B$17*3600*Assumptions!$B$18)*1000000</f>
        <v/>
      </c>
      <c r="F27" s="101">
        <f>$A27*2*F$21*1000000000*Assumptions!$B$20/(Assumptions!$B$16*1000000000000*Assumptions!$B$17*3600*Assumptions!$B$18)*1000000</f>
        <v/>
      </c>
      <c r="G27" s="101">
        <f>$A27*2*G$21*1000000000*Assumptions!$B$20/(Assumptions!$B$16*1000000000000*Assumptions!$B$17*3600*Assumptions!$B$18)*1000000</f>
        <v/>
      </c>
    </row>
    <row r="29" ht="15" customHeight="1" s="56">
      <c r="A29" s="58">
        <f>"Compare every cell with the net price of $"&amp;TEXT(UnitEcon!$B$16,"0.0000")&amp;" per M tokens."</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55" min="1" max="1"/>
    <col width="15" customWidth="1" style="55" min="2" max="6"/>
  </cols>
  <sheetData>
    <row r="1" ht="17.35" customHeight="1" s="56">
      <c r="A1" s="57" t="inlineStr">
        <is>
          <t>The Jevons test: how much volume makes the business work?</t>
        </is>
      </c>
    </row>
    <row r="2" ht="15" customHeight="1" s="56">
      <c r="A2" s="58" t="inlineStr">
        <is>
          <t>Volume needed for inference gross profit to cover fixed costs (people, research compute, other), by price.</t>
        </is>
      </c>
    </row>
    <row r="4" ht="15" customHeight="1" s="56">
      <c r="A4" s="68" t="inlineStr">
        <is>
          <t>Fixed costs today</t>
        </is>
      </c>
    </row>
    <row r="5" ht="15" customHeight="1" s="56">
      <c r="A5" s="60" t="inlineStr">
        <is>
          <t>Payroll, current team ($mm / yr)</t>
        </is>
      </c>
      <c r="B5" s="85">
        <f>Assumptions!$B$34</f>
        <v/>
      </c>
    </row>
    <row r="6" ht="15" customHeight="1" s="56">
      <c r="A6" s="60" t="inlineStr">
        <is>
          <t>Research compute ($mm / yr)</t>
        </is>
      </c>
      <c r="B6" s="88">
        <f>Assumptions!$B$38*Assumptions!$B$39*8760/1000000</f>
        <v/>
      </c>
    </row>
    <row r="7" ht="15" customHeight="1" s="56">
      <c r="A7" s="60" t="inlineStr">
        <is>
          <t>Other opex ($mm / yr)</t>
        </is>
      </c>
      <c r="B7" s="85">
        <f>Assumptions!$B$36</f>
        <v/>
      </c>
    </row>
    <row r="8" ht="15" customHeight="1" s="56">
      <c r="A8" s="68" t="inlineStr">
        <is>
          <t>Total fixed costs ($mm / yr)</t>
        </is>
      </c>
      <c r="B8" s="107">
        <f>SUM(B5:B7)</f>
        <v/>
      </c>
    </row>
    <row r="10" ht="15" customHeight="1" s="56">
      <c r="A10" s="68" t="inlineStr">
        <is>
          <t>Price scenarios (list price, before leakage)</t>
        </is>
      </c>
    </row>
    <row r="11" ht="15" customHeight="1" s="56">
      <c r="A11" s="60" t="inlineStr">
        <is>
          <t>List price ($ / M input tokens)</t>
        </is>
      </c>
      <c r="B11" s="100">
        <f>Assumptions!$B$6</f>
        <v/>
      </c>
      <c r="C11" s="71" t="n">
        <v>0.06</v>
      </c>
      <c r="D11" s="71" t="n">
        <v>0.08</v>
      </c>
      <c r="E11" s="71" t="n">
        <v>0.15</v>
      </c>
      <c r="F11" s="71" t="n">
        <v>0.25</v>
      </c>
    </row>
    <row r="12" ht="15" customHeight="1" s="56">
      <c r="A12" s="60" t="inlineStr">
        <is>
          <t>Net price after leakage</t>
        </is>
      </c>
      <c r="B12" s="101">
        <f>B11*(1-UnitEcon!$B$15)</f>
        <v/>
      </c>
      <c r="C12" s="101">
        <f>C11*(1-UnitEcon!$B$15)</f>
        <v/>
      </c>
      <c r="D12" s="101">
        <f>D11*(1-UnitEcon!$B$15)</f>
        <v/>
      </c>
      <c r="E12" s="101">
        <f>E11*(1-UnitEcon!$B$15)</f>
        <v/>
      </c>
      <c r="F12" s="101">
        <f>F11*(1-UnitEcon!$B$15)</f>
        <v/>
      </c>
    </row>
    <row r="13" ht="15" customHeight="1" s="56">
      <c r="A13" s="60" t="inlineStr">
        <is>
          <t>Cost to serve ($ / M tokens)</t>
        </is>
      </c>
      <c r="B13" s="101">
        <f>UnitEcon!$B$12</f>
        <v/>
      </c>
      <c r="C13" s="101">
        <f>UnitEcon!$B$12</f>
        <v/>
      </c>
      <c r="D13" s="101">
        <f>UnitEcon!$B$12</f>
        <v/>
      </c>
      <c r="E13" s="101">
        <f>UnitEcon!$B$12</f>
        <v/>
      </c>
      <c r="F13" s="101">
        <f>UnitEcon!$B$12</f>
        <v/>
      </c>
    </row>
    <row r="14" ht="15" customHeight="1" s="56">
      <c r="A14" s="60" t="inlineStr">
        <is>
          <t>Gross profit ($ / M tokens)</t>
        </is>
      </c>
      <c r="B14" s="101">
        <f>B12-B13</f>
        <v/>
      </c>
      <c r="C14" s="101">
        <f>C12-C13</f>
        <v/>
      </c>
      <c r="D14" s="101">
        <f>D12-D13</f>
        <v/>
      </c>
      <c r="E14" s="101">
        <f>E12-E13</f>
        <v/>
      </c>
      <c r="F14" s="101">
        <f>F12-F13</f>
        <v/>
      </c>
    </row>
    <row r="15" ht="15" customHeight="1" s="56">
      <c r="A15" s="60" t="inlineStr">
        <is>
          <t>Gross margin</t>
        </is>
      </c>
      <c r="B15" s="103">
        <f>IF(B12=0,0,B14/B12)</f>
        <v/>
      </c>
      <c r="C15" s="103">
        <f>IF(C12=0,0,C14/C12)</f>
        <v/>
      </c>
      <c r="D15" s="103">
        <f>IF(D12=0,0,D14/D12)</f>
        <v/>
      </c>
      <c r="E15" s="103">
        <f>IF(E12=0,0,E14/E12)</f>
        <v/>
      </c>
      <c r="F15" s="103">
        <f>IF(F12=0,0,F14/F12)</f>
        <v/>
      </c>
    </row>
    <row r="16" ht="15" customHeight="1" s="56">
      <c r="A16" s="60" t="inlineStr">
        <is>
          <t>M tokens / yr to cover fixed costs</t>
        </is>
      </c>
      <c r="B16" s="78">
        <f>IF(B14&lt;=0,"loss per token",$B$8*1000000/B14)</f>
        <v/>
      </c>
      <c r="C16" s="78">
        <f>IF(C14&lt;=0,"loss per token",$B$8*1000000/C14)</f>
        <v/>
      </c>
      <c r="D16" s="78">
        <f>IF(D14&lt;=0,"loss per token",$B$8*1000000/D14)</f>
        <v/>
      </c>
      <c r="E16" s="78">
        <f>IF(E14&lt;=0,"loss per token",$B$8*1000000/E14)</f>
        <v/>
      </c>
      <c r="F16" s="78">
        <f>IF(F14&lt;=0,"loss per token",$B$8*1000000/F14)</f>
        <v/>
      </c>
    </row>
    <row r="17" ht="15" customHeight="1" s="56">
      <c r="A17" s="60" t="inlineStr">
        <is>
          <t>Tokens / day needed (trillions)</t>
        </is>
      </c>
      <c r="B17" s="108">
        <f>IF(B14&lt;=0,"n/a",B16*1000000/365/1000000000000)</f>
        <v/>
      </c>
      <c r="C17" s="108">
        <f>IF(C14&lt;=0,"n/a",C16*1000000/365/1000000000000)</f>
        <v/>
      </c>
      <c r="D17" s="108">
        <f>IF(D14&lt;=0,"n/a",D16*1000000/365/1000000000000)</f>
        <v/>
      </c>
      <c r="E17" s="108">
        <f>IF(E14&lt;=0,"n/a",E16*1000000/365/1000000000000)</f>
        <v/>
      </c>
      <c r="F17" s="108">
        <f>IF(F14&lt;=0,"n/a",F16*1000000/365/1000000000000)</f>
        <v/>
      </c>
    </row>
    <row r="18" ht="15" customHeight="1" s="56">
      <c r="A18" s="60" t="inlineStr">
        <is>
          <t>Decisions / day needed (millions)</t>
        </is>
      </c>
      <c r="B18" s="78">
        <f>IF(B14&lt;=0,"n/a",B16*1000000/365/Assumptions!$B$23/1000000)</f>
        <v/>
      </c>
      <c r="C18" s="78">
        <f>IF(C14&lt;=0,"n/a",C16*1000000/365/Assumptions!$B$23/1000000)</f>
        <v/>
      </c>
      <c r="D18" s="78">
        <f>IF(D14&lt;=0,"n/a",D16*1000000/365/Assumptions!$B$23/1000000)</f>
        <v/>
      </c>
      <c r="E18" s="78">
        <f>IF(E14&lt;=0,"n/a",E16*1000000/365/Assumptions!$B$23/1000000)</f>
        <v/>
      </c>
      <c r="F18" s="78">
        <f>IF(F14&lt;=0,"n/a",F16*1000000/365/Assumptions!$B$23/1000000)</f>
        <v/>
      </c>
    </row>
    <row r="19" ht="15" customHeight="1" s="56">
      <c r="A19" s="60" t="inlineStr">
        <is>
          <t>Serving GPUs needed</t>
        </is>
      </c>
      <c r="B19" s="78">
        <f>IF(B14&lt;=0,"n/a",B16*1000000/(UnitEcon!$B$10*8760*Assumptions!$B$18))</f>
        <v/>
      </c>
      <c r="C19" s="78">
        <f>IF(C14&lt;=0,"n/a",C16*1000000/(UnitEcon!$B$10*8760*Assumptions!$B$18))</f>
        <v/>
      </c>
      <c r="D19" s="78">
        <f>IF(D14&lt;=0,"n/a",D16*1000000/(UnitEcon!$B$10*8760*Assumptions!$B$18))</f>
        <v/>
      </c>
      <c r="E19" s="78">
        <f>IF(E14&lt;=0,"n/a",E16*1000000/(UnitEcon!$B$10*8760*Assumptions!$B$18))</f>
        <v/>
      </c>
      <c r="F19" s="78">
        <f>IF(F14&lt;=0,"n/a",F16*1000000/(UnitEcon!$B$10*8760*Assumptions!$B$18))</f>
        <v/>
      </c>
    </row>
    <row r="20" ht="15" customHeight="1" s="56">
      <c r="A20" s="60" t="inlineStr">
        <is>
          <t>Annual net revenue at break-even ($mm)</t>
        </is>
      </c>
      <c r="B20" s="88">
        <f>IF(B14&lt;=0,"n/a",B16*B12/1000000)</f>
        <v/>
      </c>
      <c r="C20" s="88">
        <f>IF(C14&lt;=0,"n/a",C16*C12/1000000)</f>
        <v/>
      </c>
      <c r="D20" s="88">
        <f>IF(D14&lt;=0,"n/a",D16*D12/1000000)</f>
        <v/>
      </c>
      <c r="E20" s="88">
        <f>IF(E14&lt;=0,"n/a",E16*E12/1000000)</f>
        <v/>
      </c>
      <c r="F20" s="88">
        <f>IF(F14&lt;=0,"n/a",F16*F12/1000000)</f>
        <v/>
      </c>
    </row>
    <row r="21" ht="15" customHeight="1" s="56">
      <c r="A21" s="60" t="inlineStr">
        <is>
          <t>Savings vs. fast LLM (case 1)</t>
        </is>
      </c>
      <c r="B21" s="106">
        <f>IF(B11=0,0,UnitEcon!$B$35/(Assumptions!$B$23/1000000*B11))</f>
        <v/>
      </c>
      <c r="C21" s="106">
        <f>IF(C11=0,0,UnitEcon!$B$35/(Assumptions!$B$23/1000000*C11))</f>
        <v/>
      </c>
      <c r="D21" s="106">
        <f>IF(D11=0,0,UnitEcon!$B$35/(Assumptions!$B$23/1000000*D11))</f>
        <v/>
      </c>
      <c r="E21" s="106">
        <f>IF(E11=0,0,UnitEcon!$B$35/(Assumptions!$B$23/1000000*E11))</f>
        <v/>
      </c>
      <c r="F21" s="106">
        <f>IF(F11=0,0,UnitEcon!$B$35/(Assumptions!$B$23/1000000*F11))</f>
        <v/>
      </c>
    </row>
    <row r="22" ht="15" customHeight="1" s="56">
      <c r="A22" s="60" t="inlineStr">
        <is>
          <t>Savings vs. reasoning LLM (case 2)</t>
        </is>
      </c>
      <c r="B22" s="106">
        <f>IF(B11=0,0,UnitEcon!$B$38/(Assumptions!$B$23/1000000*B11))</f>
        <v/>
      </c>
      <c r="C22" s="106">
        <f>IF(C11=0,0,UnitEcon!$B$38/(Assumptions!$B$23/1000000*C11))</f>
        <v/>
      </c>
      <c r="D22" s="106">
        <f>IF(D11=0,0,UnitEcon!$B$38/(Assumptions!$B$23/1000000*D11))</f>
        <v/>
      </c>
      <c r="E22" s="106">
        <f>IF(E11=0,0,UnitEcon!$B$38/(Assumptions!$B$23/1000000*E11))</f>
        <v/>
      </c>
      <c r="F22" s="106">
        <f>IF(F11=0,0,UnitEcon!$B$38/(Assumptions!$B$23/1000000*F11))</f>
        <v/>
      </c>
    </row>
    <row r="24" ht="15" customHeight="1" s="56">
      <c r="A24" s="58" t="inlineStr">
        <is>
          <t>Read across: raising the price cuts the volume needed to break even sharply, while savings vs. LLMs stay large.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Y39"/>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44" customWidth="1" style="55" min="1" max="1"/>
    <col width="10" customWidth="1" style="55" min="2" max="25"/>
  </cols>
  <sheetData>
    <row r="1" ht="17.35" customHeight="1" s="56">
      <c r="A1" s="57" t="inlineStr">
        <is>
          <t>24-month cash and runway (illustrative, no new funding)</t>
        </is>
      </c>
    </row>
    <row r="2" ht="15" customHeight="1" s="56">
      <c r="A2" s="58" t="inlineStr">
        <is>
          <t>Monthly build. Headcount follows the Hiring tab; volume grows and cost per token falls per Assumptions.</t>
        </is>
      </c>
    </row>
    <row r="4" ht="15" customHeight="1" s="56">
      <c r="A4" s="68" t="inlineStr">
        <is>
          <t>Month</t>
        </is>
      </c>
      <c r="B4" s="109" t="n">
        <v>1</v>
      </c>
      <c r="C4" s="109" t="n">
        <v>2</v>
      </c>
      <c r="D4" s="109" t="n">
        <v>3</v>
      </c>
      <c r="E4" s="109" t="n">
        <v>4</v>
      </c>
      <c r="F4" s="109" t="n">
        <v>5</v>
      </c>
      <c r="G4" s="109" t="n">
        <v>6</v>
      </c>
      <c r="H4" s="109" t="n">
        <v>7</v>
      </c>
      <c r="I4" s="109" t="n">
        <v>8</v>
      </c>
      <c r="J4" s="109" t="n">
        <v>9</v>
      </c>
      <c r="K4" s="109" t="n">
        <v>10</v>
      </c>
      <c r="L4" s="109" t="n">
        <v>11</v>
      </c>
      <c r="M4" s="109" t="n">
        <v>12</v>
      </c>
      <c r="N4" s="109" t="n">
        <v>13</v>
      </c>
      <c r="O4" s="109" t="n">
        <v>14</v>
      </c>
      <c r="P4" s="109" t="n">
        <v>15</v>
      </c>
      <c r="Q4" s="109" t="n">
        <v>16</v>
      </c>
      <c r="R4" s="109" t="n">
        <v>17</v>
      </c>
      <c r="S4" s="109" t="n">
        <v>18</v>
      </c>
      <c r="T4" s="109" t="n">
        <v>19</v>
      </c>
      <c r="U4" s="109" t="n">
        <v>20</v>
      </c>
      <c r="V4" s="109" t="n">
        <v>21</v>
      </c>
      <c r="W4" s="109" t="n">
        <v>22</v>
      </c>
      <c r="X4" s="109" t="n">
        <v>23</v>
      </c>
      <c r="Y4" s="109" t="n">
        <v>24</v>
      </c>
    </row>
    <row r="5" ht="15" customHeight="1" s="56">
      <c r="A5" s="60" t="inlineStr">
        <is>
          <t>Headcount</t>
        </is>
      </c>
      <c r="B5" s="78">
        <f>Hiring!$D$32+SUMPRODUCT((Hiring!$E$37:$E$66&gt;=1)*(Hiring!$E$37:$E$66&lt;=B$4)*Hiring!$D$37:$D$66)</f>
        <v/>
      </c>
      <c r="C5" s="78">
        <f>Hiring!$D$32+SUMPRODUCT((Hiring!$E$37:$E$66&gt;=1)*(Hiring!$E$37:$E$66&lt;=C$4)*Hiring!$D$37:$D$66)</f>
        <v/>
      </c>
      <c r="D5" s="78">
        <f>Hiring!$D$32+SUMPRODUCT((Hiring!$E$37:$E$66&gt;=1)*(Hiring!$E$37:$E$66&lt;=D$4)*Hiring!$D$37:$D$66)</f>
        <v/>
      </c>
      <c r="E5" s="78">
        <f>Hiring!$D$32+SUMPRODUCT((Hiring!$E$37:$E$66&gt;=1)*(Hiring!$E$37:$E$66&lt;=E$4)*Hiring!$D$37:$D$66)</f>
        <v/>
      </c>
      <c r="F5" s="78">
        <f>Hiring!$D$32+SUMPRODUCT((Hiring!$E$37:$E$66&gt;=1)*(Hiring!$E$37:$E$66&lt;=F$4)*Hiring!$D$37:$D$66)</f>
        <v/>
      </c>
      <c r="G5" s="78">
        <f>Hiring!$D$32+SUMPRODUCT((Hiring!$E$37:$E$66&gt;=1)*(Hiring!$E$37:$E$66&lt;=G$4)*Hiring!$D$37:$D$66)</f>
        <v/>
      </c>
      <c r="H5" s="78">
        <f>Hiring!$D$32+SUMPRODUCT((Hiring!$E$37:$E$66&gt;=1)*(Hiring!$E$37:$E$66&lt;=H$4)*Hiring!$D$37:$D$66)</f>
        <v/>
      </c>
      <c r="I5" s="78">
        <f>Hiring!$D$32+SUMPRODUCT((Hiring!$E$37:$E$66&gt;=1)*(Hiring!$E$37:$E$66&lt;=I$4)*Hiring!$D$37:$D$66)</f>
        <v/>
      </c>
      <c r="J5" s="78">
        <f>Hiring!$D$32+SUMPRODUCT((Hiring!$E$37:$E$66&gt;=1)*(Hiring!$E$37:$E$66&lt;=J$4)*Hiring!$D$37:$D$66)</f>
        <v/>
      </c>
      <c r="K5" s="78">
        <f>Hiring!$D$32+SUMPRODUCT((Hiring!$E$37:$E$66&gt;=1)*(Hiring!$E$37:$E$66&lt;=K$4)*Hiring!$D$37:$D$66)</f>
        <v/>
      </c>
      <c r="L5" s="78">
        <f>Hiring!$D$32+SUMPRODUCT((Hiring!$E$37:$E$66&gt;=1)*(Hiring!$E$37:$E$66&lt;=L$4)*Hiring!$D$37:$D$66)</f>
        <v/>
      </c>
      <c r="M5" s="78">
        <f>Hiring!$D$32+SUMPRODUCT((Hiring!$E$37:$E$66&gt;=1)*(Hiring!$E$37:$E$66&lt;=M$4)*Hiring!$D$37:$D$66)</f>
        <v/>
      </c>
      <c r="N5" s="78">
        <f>Hiring!$D$32+SUMPRODUCT((Hiring!$E$37:$E$66&gt;=1)*(Hiring!$E$37:$E$66&lt;=N$4)*Hiring!$D$37:$D$66)</f>
        <v/>
      </c>
      <c r="O5" s="78">
        <f>Hiring!$D$32+SUMPRODUCT((Hiring!$E$37:$E$66&gt;=1)*(Hiring!$E$37:$E$66&lt;=O$4)*Hiring!$D$37:$D$66)</f>
        <v/>
      </c>
      <c r="P5" s="78">
        <f>Hiring!$D$32+SUMPRODUCT((Hiring!$E$37:$E$66&gt;=1)*(Hiring!$E$37:$E$66&lt;=P$4)*Hiring!$D$37:$D$66)</f>
        <v/>
      </c>
      <c r="Q5" s="78">
        <f>Hiring!$D$32+SUMPRODUCT((Hiring!$E$37:$E$66&gt;=1)*(Hiring!$E$37:$E$66&lt;=Q$4)*Hiring!$D$37:$D$66)</f>
        <v/>
      </c>
      <c r="R5" s="78">
        <f>Hiring!$D$32+SUMPRODUCT((Hiring!$E$37:$E$66&gt;=1)*(Hiring!$E$37:$E$66&lt;=R$4)*Hiring!$D$37:$D$66)</f>
        <v/>
      </c>
      <c r="S5" s="78">
        <f>Hiring!$D$32+SUMPRODUCT((Hiring!$E$37:$E$66&gt;=1)*(Hiring!$E$37:$E$66&lt;=S$4)*Hiring!$D$37:$D$66)</f>
        <v/>
      </c>
      <c r="T5" s="78">
        <f>Hiring!$D$32+SUMPRODUCT((Hiring!$E$37:$E$66&gt;=1)*(Hiring!$E$37:$E$66&lt;=T$4)*Hiring!$D$37:$D$66)</f>
        <v/>
      </c>
      <c r="U5" s="78">
        <f>Hiring!$D$32+SUMPRODUCT((Hiring!$E$37:$E$66&gt;=1)*(Hiring!$E$37:$E$66&lt;=U$4)*Hiring!$D$37:$D$66)</f>
        <v/>
      </c>
      <c r="V5" s="78">
        <f>Hiring!$D$32+SUMPRODUCT((Hiring!$E$37:$E$66&gt;=1)*(Hiring!$E$37:$E$66&lt;=V$4)*Hiring!$D$37:$D$66)</f>
        <v/>
      </c>
      <c r="W5" s="78">
        <f>Hiring!$D$32+SUMPRODUCT((Hiring!$E$37:$E$66&gt;=1)*(Hiring!$E$37:$E$66&lt;=W$4)*Hiring!$D$37:$D$66)</f>
        <v/>
      </c>
      <c r="X5" s="78">
        <f>Hiring!$D$32+SUMPRODUCT((Hiring!$E$37:$E$66&gt;=1)*(Hiring!$E$37:$E$66&lt;=X$4)*Hiring!$D$37:$D$66)</f>
        <v/>
      </c>
      <c r="Y5" s="78">
        <f>Hiring!$D$32+SUMPRODUCT((Hiring!$E$37:$E$66&gt;=1)*(Hiring!$E$37:$E$66&lt;=Y$4)*Hiring!$D$37:$D$66)</f>
        <v/>
      </c>
    </row>
    <row r="6" ht="15" customHeight="1" s="56">
      <c r="A6" s="60" t="inlineStr">
        <is>
          <t>Payroll ($mm)</t>
        </is>
      </c>
      <c r="B6" s="88">
        <f>(Hiring!$H$32+SUMPRODUCT((Hiring!$E$37:$E$66&gt;=1)*(Hiring!$E$37:$E$66&lt;=B$4)*Hiring!$D$37:$D$66*Hiring!$H$37:$H$66))/1000/12</f>
        <v/>
      </c>
      <c r="C6" s="88">
        <f>(Hiring!$H$32+SUMPRODUCT((Hiring!$E$37:$E$66&gt;=1)*(Hiring!$E$37:$E$66&lt;=C$4)*Hiring!$D$37:$D$66*Hiring!$H$37:$H$66))/1000/12</f>
        <v/>
      </c>
      <c r="D6" s="88">
        <f>(Hiring!$H$32+SUMPRODUCT((Hiring!$E$37:$E$66&gt;=1)*(Hiring!$E$37:$E$66&lt;=D$4)*Hiring!$D$37:$D$66*Hiring!$H$37:$H$66))/1000/12</f>
        <v/>
      </c>
      <c r="E6" s="88">
        <f>(Hiring!$H$32+SUMPRODUCT((Hiring!$E$37:$E$66&gt;=1)*(Hiring!$E$37:$E$66&lt;=E$4)*Hiring!$D$37:$D$66*Hiring!$H$37:$H$66))/1000/12</f>
        <v/>
      </c>
      <c r="F6" s="88">
        <f>(Hiring!$H$32+SUMPRODUCT((Hiring!$E$37:$E$66&gt;=1)*(Hiring!$E$37:$E$66&lt;=F$4)*Hiring!$D$37:$D$66*Hiring!$H$37:$H$66))/1000/12</f>
        <v/>
      </c>
      <c r="G6" s="88">
        <f>(Hiring!$H$32+SUMPRODUCT((Hiring!$E$37:$E$66&gt;=1)*(Hiring!$E$37:$E$66&lt;=G$4)*Hiring!$D$37:$D$66*Hiring!$H$37:$H$66))/1000/12</f>
        <v/>
      </c>
      <c r="H6" s="88">
        <f>(Hiring!$H$32+SUMPRODUCT((Hiring!$E$37:$E$66&gt;=1)*(Hiring!$E$37:$E$66&lt;=H$4)*Hiring!$D$37:$D$66*Hiring!$H$37:$H$66))/1000/12</f>
        <v/>
      </c>
      <c r="I6" s="88">
        <f>(Hiring!$H$32+SUMPRODUCT((Hiring!$E$37:$E$66&gt;=1)*(Hiring!$E$37:$E$66&lt;=I$4)*Hiring!$D$37:$D$66*Hiring!$H$37:$H$66))/1000/12</f>
        <v/>
      </c>
      <c r="J6" s="88">
        <f>(Hiring!$H$32+SUMPRODUCT((Hiring!$E$37:$E$66&gt;=1)*(Hiring!$E$37:$E$66&lt;=J$4)*Hiring!$D$37:$D$66*Hiring!$H$37:$H$66))/1000/12</f>
        <v/>
      </c>
      <c r="K6" s="88">
        <f>(Hiring!$H$32+SUMPRODUCT((Hiring!$E$37:$E$66&gt;=1)*(Hiring!$E$37:$E$66&lt;=K$4)*Hiring!$D$37:$D$66*Hiring!$H$37:$H$66))/1000/12</f>
        <v/>
      </c>
      <c r="L6" s="88">
        <f>(Hiring!$H$32+SUMPRODUCT((Hiring!$E$37:$E$66&gt;=1)*(Hiring!$E$37:$E$66&lt;=L$4)*Hiring!$D$37:$D$66*Hiring!$H$37:$H$66))/1000/12</f>
        <v/>
      </c>
      <c r="M6" s="88">
        <f>(Hiring!$H$32+SUMPRODUCT((Hiring!$E$37:$E$66&gt;=1)*(Hiring!$E$37:$E$66&lt;=M$4)*Hiring!$D$37:$D$66*Hiring!$H$37:$H$66))/1000/12</f>
        <v/>
      </c>
      <c r="N6" s="88">
        <f>(Hiring!$H$32+SUMPRODUCT((Hiring!$E$37:$E$66&gt;=1)*(Hiring!$E$37:$E$66&lt;=N$4)*Hiring!$D$37:$D$66*Hiring!$H$37:$H$66))/1000/12</f>
        <v/>
      </c>
      <c r="O6" s="88">
        <f>(Hiring!$H$32+SUMPRODUCT((Hiring!$E$37:$E$66&gt;=1)*(Hiring!$E$37:$E$66&lt;=O$4)*Hiring!$D$37:$D$66*Hiring!$H$37:$H$66))/1000/12</f>
        <v/>
      </c>
      <c r="P6" s="88">
        <f>(Hiring!$H$32+SUMPRODUCT((Hiring!$E$37:$E$66&gt;=1)*(Hiring!$E$37:$E$66&lt;=P$4)*Hiring!$D$37:$D$66*Hiring!$H$37:$H$66))/1000/12</f>
        <v/>
      </c>
      <c r="Q6" s="88">
        <f>(Hiring!$H$32+SUMPRODUCT((Hiring!$E$37:$E$66&gt;=1)*(Hiring!$E$37:$E$66&lt;=Q$4)*Hiring!$D$37:$D$66*Hiring!$H$37:$H$66))/1000/12</f>
        <v/>
      </c>
      <c r="R6" s="88">
        <f>(Hiring!$H$32+SUMPRODUCT((Hiring!$E$37:$E$66&gt;=1)*(Hiring!$E$37:$E$66&lt;=R$4)*Hiring!$D$37:$D$66*Hiring!$H$37:$H$66))/1000/12</f>
        <v/>
      </c>
      <c r="S6" s="88">
        <f>(Hiring!$H$32+SUMPRODUCT((Hiring!$E$37:$E$66&gt;=1)*(Hiring!$E$37:$E$66&lt;=S$4)*Hiring!$D$37:$D$66*Hiring!$H$37:$H$66))/1000/12</f>
        <v/>
      </c>
      <c r="T6" s="88">
        <f>(Hiring!$H$32+SUMPRODUCT((Hiring!$E$37:$E$66&gt;=1)*(Hiring!$E$37:$E$66&lt;=T$4)*Hiring!$D$37:$D$66*Hiring!$H$37:$H$66))/1000/12</f>
        <v/>
      </c>
      <c r="U6" s="88">
        <f>(Hiring!$H$32+SUMPRODUCT((Hiring!$E$37:$E$66&gt;=1)*(Hiring!$E$37:$E$66&lt;=U$4)*Hiring!$D$37:$D$66*Hiring!$H$37:$H$66))/1000/12</f>
        <v/>
      </c>
      <c r="V6" s="88">
        <f>(Hiring!$H$32+SUMPRODUCT((Hiring!$E$37:$E$66&gt;=1)*(Hiring!$E$37:$E$66&lt;=V$4)*Hiring!$D$37:$D$66*Hiring!$H$37:$H$66))/1000/12</f>
        <v/>
      </c>
      <c r="W6" s="88">
        <f>(Hiring!$H$32+SUMPRODUCT((Hiring!$E$37:$E$66&gt;=1)*(Hiring!$E$37:$E$66&lt;=W$4)*Hiring!$D$37:$D$66*Hiring!$H$37:$H$66))/1000/12</f>
        <v/>
      </c>
      <c r="X6" s="88">
        <f>(Hiring!$H$32+SUMPRODUCT((Hiring!$E$37:$E$66&gt;=1)*(Hiring!$E$37:$E$66&lt;=X$4)*Hiring!$D$37:$D$66*Hiring!$H$37:$H$66))/1000/12</f>
        <v/>
      </c>
      <c r="Y6" s="88">
        <f>(Hiring!$H$32+SUMPRODUCT((Hiring!$E$37:$E$66&gt;=1)*(Hiring!$E$37:$E$66&lt;=Y$4)*Hiring!$D$37:$D$66*Hiring!$H$37:$H$66))/1000/12</f>
        <v/>
      </c>
    </row>
    <row r="7" ht="15" customHeight="1" s="56">
      <c r="A7" s="60" t="inlineStr">
        <is>
          <t>Research compute ($mm)</t>
        </is>
      </c>
      <c r="B7" s="88">
        <f>Assumptions!$B$38*Assumptions!$B$39*730/1000000</f>
        <v/>
      </c>
      <c r="C7" s="88">
        <f>Assumptions!$B$38*Assumptions!$B$39*730/1000000</f>
        <v/>
      </c>
      <c r="D7" s="88">
        <f>Assumptions!$B$38*Assumptions!$B$39*730/1000000</f>
        <v/>
      </c>
      <c r="E7" s="88">
        <f>Assumptions!$B$38*Assumptions!$B$39*730/1000000</f>
        <v/>
      </c>
      <c r="F7" s="88">
        <f>Assumptions!$B$38*Assumptions!$B$39*730/1000000</f>
        <v/>
      </c>
      <c r="G7" s="88">
        <f>Assumptions!$B$38*Assumptions!$B$39*730/1000000</f>
        <v/>
      </c>
      <c r="H7" s="88">
        <f>Assumptions!$B$38*Assumptions!$B$39*730/1000000</f>
        <v/>
      </c>
      <c r="I7" s="88">
        <f>Assumptions!$B$38*Assumptions!$B$39*730/1000000</f>
        <v/>
      </c>
      <c r="J7" s="88">
        <f>Assumptions!$B$38*Assumptions!$B$39*730/1000000</f>
        <v/>
      </c>
      <c r="K7" s="88">
        <f>Assumptions!$B$38*Assumptions!$B$39*730/1000000</f>
        <v/>
      </c>
      <c r="L7" s="88">
        <f>Assumptions!$B$38*Assumptions!$B$39*730/1000000</f>
        <v/>
      </c>
      <c r="M7" s="88">
        <f>Assumptions!$B$38*Assumptions!$B$39*730/1000000</f>
        <v/>
      </c>
      <c r="N7" s="88">
        <f>Assumptions!$B$38*Assumptions!$B$39*730/1000000</f>
        <v/>
      </c>
      <c r="O7" s="88">
        <f>Assumptions!$B$38*Assumptions!$B$39*730/1000000</f>
        <v/>
      </c>
      <c r="P7" s="88">
        <f>Assumptions!$B$38*Assumptions!$B$39*730/1000000</f>
        <v/>
      </c>
      <c r="Q7" s="88">
        <f>Assumptions!$B$38*Assumptions!$B$39*730/1000000</f>
        <v/>
      </c>
      <c r="R7" s="88">
        <f>Assumptions!$B$38*Assumptions!$B$39*730/1000000</f>
        <v/>
      </c>
      <c r="S7" s="88">
        <f>Assumptions!$B$38*Assumptions!$B$39*730/1000000</f>
        <v/>
      </c>
      <c r="T7" s="88">
        <f>Assumptions!$B$38*Assumptions!$B$39*730/1000000</f>
        <v/>
      </c>
      <c r="U7" s="88">
        <f>Assumptions!$B$38*Assumptions!$B$39*730/1000000</f>
        <v/>
      </c>
      <c r="V7" s="88">
        <f>Assumptions!$B$38*Assumptions!$B$39*730/1000000</f>
        <v/>
      </c>
      <c r="W7" s="88">
        <f>Assumptions!$B$38*Assumptions!$B$39*730/1000000</f>
        <v/>
      </c>
      <c r="X7" s="88">
        <f>Assumptions!$B$38*Assumptions!$B$39*730/1000000</f>
        <v/>
      </c>
      <c r="Y7" s="88">
        <f>Assumptions!$B$38*Assumptions!$B$39*730/1000000</f>
        <v/>
      </c>
    </row>
    <row r="8" ht="15" customHeight="1" s="56">
      <c r="A8" s="60" t="inlineStr">
        <is>
          <t>Other opex ($mm)</t>
        </is>
      </c>
      <c r="B8" s="88">
        <f>Assumptions!$B$36/12</f>
        <v/>
      </c>
      <c r="C8" s="88">
        <f>Assumptions!$B$36/12</f>
        <v/>
      </c>
      <c r="D8" s="88">
        <f>Assumptions!$B$36/12</f>
        <v/>
      </c>
      <c r="E8" s="88">
        <f>Assumptions!$B$36/12</f>
        <v/>
      </c>
      <c r="F8" s="88">
        <f>Assumptions!$B$36/12</f>
        <v/>
      </c>
      <c r="G8" s="88">
        <f>Assumptions!$B$36/12</f>
        <v/>
      </c>
      <c r="H8" s="88">
        <f>Assumptions!$B$36/12</f>
        <v/>
      </c>
      <c r="I8" s="88">
        <f>Assumptions!$B$36/12</f>
        <v/>
      </c>
      <c r="J8" s="88">
        <f>Assumptions!$B$36/12</f>
        <v/>
      </c>
      <c r="K8" s="88">
        <f>Assumptions!$B$36/12</f>
        <v/>
      </c>
      <c r="L8" s="88">
        <f>Assumptions!$B$36/12</f>
        <v/>
      </c>
      <c r="M8" s="88">
        <f>Assumptions!$B$36/12</f>
        <v/>
      </c>
      <c r="N8" s="88">
        <f>Assumptions!$B$36/12</f>
        <v/>
      </c>
      <c r="O8" s="88">
        <f>Assumptions!$B$36/12</f>
        <v/>
      </c>
      <c r="P8" s="88">
        <f>Assumptions!$B$36/12</f>
        <v/>
      </c>
      <c r="Q8" s="88">
        <f>Assumptions!$B$36/12</f>
        <v/>
      </c>
      <c r="R8" s="88">
        <f>Assumptions!$B$36/12</f>
        <v/>
      </c>
      <c r="S8" s="88">
        <f>Assumptions!$B$36/12</f>
        <v/>
      </c>
      <c r="T8" s="88">
        <f>Assumptions!$B$36/12</f>
        <v/>
      </c>
      <c r="U8" s="88">
        <f>Assumptions!$B$36/12</f>
        <v/>
      </c>
      <c r="V8" s="88">
        <f>Assumptions!$B$36/12</f>
        <v/>
      </c>
      <c r="W8" s="88">
        <f>Assumptions!$B$36/12</f>
        <v/>
      </c>
      <c r="X8" s="88">
        <f>Assumptions!$B$36/12</f>
        <v/>
      </c>
      <c r="Y8" s="88">
        <f>Assumptions!$B$36/12</f>
        <v/>
      </c>
    </row>
    <row r="9" ht="15" customHeight="1" s="56">
      <c r="A9" s="60" t="inlineStr">
        <is>
          <t>Free credits, at compute cost ($mm)</t>
        </is>
      </c>
      <c r="B9" s="88">
        <f>IF(Assumptions!$B$6=0,0,Assumptions!$B$44*Assumptions!$B$10*Assumptions!$B$45*B13/Assumptions!$B$6/1000000)</f>
        <v/>
      </c>
      <c r="C9" s="88">
        <f>IF(Assumptions!$B$6=0,0,Assumptions!$B$44*Assumptions!$B$10*Assumptions!$B$45*C13/Assumptions!$B$6/1000000)</f>
        <v/>
      </c>
      <c r="D9" s="88">
        <f>IF(Assumptions!$B$6=0,0,Assumptions!$B$44*Assumptions!$B$10*Assumptions!$B$45*D13/Assumptions!$B$6/1000000)</f>
        <v/>
      </c>
      <c r="E9" s="88">
        <f>IF(Assumptions!$B$6=0,0,Assumptions!$B$44*Assumptions!$B$10*Assumptions!$B$45*E13/Assumptions!$B$6/1000000)</f>
        <v/>
      </c>
      <c r="F9" s="88">
        <f>IF(Assumptions!$B$6=0,0,Assumptions!$B$44*Assumptions!$B$10*Assumptions!$B$45*F13/Assumptions!$B$6/1000000)</f>
        <v/>
      </c>
      <c r="G9" s="88">
        <f>IF(Assumptions!$B$6=0,0,Assumptions!$B$44*Assumptions!$B$10*Assumptions!$B$45*G13/Assumptions!$B$6/1000000)</f>
        <v/>
      </c>
      <c r="H9" s="88">
        <f>IF(Assumptions!$B$6=0,0,Assumptions!$B$44*Assumptions!$B$10*Assumptions!$B$45*H13/Assumptions!$B$6/1000000)</f>
        <v/>
      </c>
      <c r="I9" s="88">
        <f>IF(Assumptions!$B$6=0,0,Assumptions!$B$44*Assumptions!$B$10*Assumptions!$B$45*I13/Assumptions!$B$6/1000000)</f>
        <v/>
      </c>
      <c r="J9" s="88">
        <f>IF(Assumptions!$B$6=0,0,Assumptions!$B$44*Assumptions!$B$10*Assumptions!$B$45*J13/Assumptions!$B$6/1000000)</f>
        <v/>
      </c>
      <c r="K9" s="88">
        <f>IF(Assumptions!$B$6=0,0,Assumptions!$B$44*Assumptions!$B$10*Assumptions!$B$45*K13/Assumptions!$B$6/1000000)</f>
        <v/>
      </c>
      <c r="L9" s="88">
        <f>IF(Assumptions!$B$6=0,0,Assumptions!$B$44*Assumptions!$B$10*Assumptions!$B$45*L13/Assumptions!$B$6/1000000)</f>
        <v/>
      </c>
      <c r="M9" s="88">
        <f>IF(Assumptions!$B$6=0,0,Assumptions!$B$44*Assumptions!$B$10*Assumptions!$B$45*M13/Assumptions!$B$6/1000000)</f>
        <v/>
      </c>
      <c r="N9" s="88">
        <f>IF(Assumptions!$B$6=0,0,Assumptions!$B$44*Assumptions!$B$10*Assumptions!$B$45*N13/Assumptions!$B$6/1000000)</f>
        <v/>
      </c>
      <c r="O9" s="88">
        <f>IF(Assumptions!$B$6=0,0,Assumptions!$B$44*Assumptions!$B$10*Assumptions!$B$45*O13/Assumptions!$B$6/1000000)</f>
        <v/>
      </c>
      <c r="P9" s="88">
        <f>IF(Assumptions!$B$6=0,0,Assumptions!$B$44*Assumptions!$B$10*Assumptions!$B$45*P13/Assumptions!$B$6/1000000)</f>
        <v/>
      </c>
      <c r="Q9" s="88">
        <f>IF(Assumptions!$B$6=0,0,Assumptions!$B$44*Assumptions!$B$10*Assumptions!$B$45*Q13/Assumptions!$B$6/1000000)</f>
        <v/>
      </c>
      <c r="R9" s="88">
        <f>IF(Assumptions!$B$6=0,0,Assumptions!$B$44*Assumptions!$B$10*Assumptions!$B$45*R13/Assumptions!$B$6/1000000)</f>
        <v/>
      </c>
      <c r="S9" s="88">
        <f>IF(Assumptions!$B$6=0,0,Assumptions!$B$44*Assumptions!$B$10*Assumptions!$B$45*S13/Assumptions!$B$6/1000000)</f>
        <v/>
      </c>
      <c r="T9" s="88">
        <f>IF(Assumptions!$B$6=0,0,Assumptions!$B$44*Assumptions!$B$10*Assumptions!$B$45*T13/Assumptions!$B$6/1000000)</f>
        <v/>
      </c>
      <c r="U9" s="88">
        <f>IF(Assumptions!$B$6=0,0,Assumptions!$B$44*Assumptions!$B$10*Assumptions!$B$45*U13/Assumptions!$B$6/1000000)</f>
        <v/>
      </c>
      <c r="V9" s="88">
        <f>IF(Assumptions!$B$6=0,0,Assumptions!$B$44*Assumptions!$B$10*Assumptions!$B$45*V13/Assumptions!$B$6/1000000)</f>
        <v/>
      </c>
      <c r="W9" s="88">
        <f>IF(Assumptions!$B$6=0,0,Assumptions!$B$44*Assumptions!$B$10*Assumptions!$B$45*W13/Assumptions!$B$6/1000000)</f>
        <v/>
      </c>
      <c r="X9" s="88">
        <f>IF(Assumptions!$B$6=0,0,Assumptions!$B$44*Assumptions!$B$10*Assumptions!$B$45*X13/Assumptions!$B$6/1000000)</f>
        <v/>
      </c>
      <c r="Y9" s="88">
        <f>IF(Assumptions!$B$6=0,0,Assumptions!$B$44*Assumptions!$B$10*Assumptions!$B$45*Y13/Assumptions!$B$6/1000000)</f>
        <v/>
      </c>
    </row>
    <row r="10" ht="15" customHeight="1" s="56">
      <c r="A10" s="60" t="inlineStr">
        <is>
          <t>Billed tokens / day (B)</t>
        </is>
      </c>
      <c r="B10" s="89">
        <f>Assumptions!$B$47*(1+Assumptions!$B$50)^(B$4-1)</f>
        <v/>
      </c>
      <c r="C10" s="89">
        <f>Assumptions!$B$47*(1+Assumptions!$B$50)^(C$4-1)</f>
        <v/>
      </c>
      <c r="D10" s="89">
        <f>Assumptions!$B$47*(1+Assumptions!$B$50)^(D$4-1)</f>
        <v/>
      </c>
      <c r="E10" s="89">
        <f>Assumptions!$B$47*(1+Assumptions!$B$50)^(E$4-1)</f>
        <v/>
      </c>
      <c r="F10" s="89">
        <f>Assumptions!$B$47*(1+Assumptions!$B$50)^(F$4-1)</f>
        <v/>
      </c>
      <c r="G10" s="89">
        <f>Assumptions!$B$47*(1+Assumptions!$B$50)^(G$4-1)</f>
        <v/>
      </c>
      <c r="H10" s="89">
        <f>Assumptions!$B$47*(1+Assumptions!$B$50)^(H$4-1)</f>
        <v/>
      </c>
      <c r="I10" s="89">
        <f>Assumptions!$B$47*(1+Assumptions!$B$50)^(I$4-1)</f>
        <v/>
      </c>
      <c r="J10" s="89">
        <f>Assumptions!$B$47*(1+Assumptions!$B$50)^(J$4-1)</f>
        <v/>
      </c>
      <c r="K10" s="89">
        <f>Assumptions!$B$47*(1+Assumptions!$B$50)^(K$4-1)</f>
        <v/>
      </c>
      <c r="L10" s="89">
        <f>Assumptions!$B$47*(1+Assumptions!$B$50)^(L$4-1)</f>
        <v/>
      </c>
      <c r="M10" s="89">
        <f>Assumptions!$B$47*(1+Assumptions!$B$50)^(M$4-1)</f>
        <v/>
      </c>
      <c r="N10" s="89">
        <f>Assumptions!$B$47*(1+Assumptions!$B$50)^(N$4-1)</f>
        <v/>
      </c>
      <c r="O10" s="89">
        <f>Assumptions!$B$47*(1+Assumptions!$B$50)^(O$4-1)</f>
        <v/>
      </c>
      <c r="P10" s="89">
        <f>Assumptions!$B$47*(1+Assumptions!$B$50)^(P$4-1)</f>
        <v/>
      </c>
      <c r="Q10" s="89">
        <f>Assumptions!$B$47*(1+Assumptions!$B$50)^(Q$4-1)</f>
        <v/>
      </c>
      <c r="R10" s="89">
        <f>Assumptions!$B$47*(1+Assumptions!$B$50)^(R$4-1)</f>
        <v/>
      </c>
      <c r="S10" s="89">
        <f>Assumptions!$B$47*(1+Assumptions!$B$50)^(S$4-1)</f>
        <v/>
      </c>
      <c r="T10" s="89">
        <f>Assumptions!$B$47*(1+Assumptions!$B$50)^(T$4-1)</f>
        <v/>
      </c>
      <c r="U10" s="89">
        <f>Assumptions!$B$47*(1+Assumptions!$B$50)^(U$4-1)</f>
        <v/>
      </c>
      <c r="V10" s="89">
        <f>Assumptions!$B$47*(1+Assumptions!$B$50)^(V$4-1)</f>
        <v/>
      </c>
      <c r="W10" s="89">
        <f>Assumptions!$B$47*(1+Assumptions!$B$50)^(W$4-1)</f>
        <v/>
      </c>
      <c r="X10" s="89">
        <f>Assumptions!$B$47*(1+Assumptions!$B$50)^(X$4-1)</f>
        <v/>
      </c>
      <c r="Y10" s="89">
        <f>Assumptions!$B$47*(1+Assumptions!$B$50)^(Y$4-1)</f>
        <v/>
      </c>
    </row>
    <row r="11" ht="15" customHeight="1" s="56">
      <c r="A11" s="60" t="inlineStr">
        <is>
          <t>Decisions / day (mm)</t>
        </is>
      </c>
      <c r="B11" s="89">
        <f>B10*1000000000/Assumptions!$B$23/1000000</f>
        <v/>
      </c>
      <c r="C11" s="89">
        <f>C10*1000000000/Assumptions!$B$23/1000000</f>
        <v/>
      </c>
      <c r="D11" s="89">
        <f>D10*1000000000/Assumptions!$B$23/1000000</f>
        <v/>
      </c>
      <c r="E11" s="89">
        <f>E10*1000000000/Assumptions!$B$23/1000000</f>
        <v/>
      </c>
      <c r="F11" s="89">
        <f>F10*1000000000/Assumptions!$B$23/1000000</f>
        <v/>
      </c>
      <c r="G11" s="89">
        <f>G10*1000000000/Assumptions!$B$23/1000000</f>
        <v/>
      </c>
      <c r="H11" s="89">
        <f>H10*1000000000/Assumptions!$B$23/1000000</f>
        <v/>
      </c>
      <c r="I11" s="89">
        <f>I10*1000000000/Assumptions!$B$23/1000000</f>
        <v/>
      </c>
      <c r="J11" s="89">
        <f>J10*1000000000/Assumptions!$B$23/1000000</f>
        <v/>
      </c>
      <c r="K11" s="89">
        <f>K10*1000000000/Assumptions!$B$23/1000000</f>
        <v/>
      </c>
      <c r="L11" s="89">
        <f>L10*1000000000/Assumptions!$B$23/1000000</f>
        <v/>
      </c>
      <c r="M11" s="89">
        <f>M10*1000000000/Assumptions!$B$23/1000000</f>
        <v/>
      </c>
      <c r="N11" s="89">
        <f>N10*1000000000/Assumptions!$B$23/1000000</f>
        <v/>
      </c>
      <c r="O11" s="89">
        <f>O10*1000000000/Assumptions!$B$23/1000000</f>
        <v/>
      </c>
      <c r="P11" s="89">
        <f>P10*1000000000/Assumptions!$B$23/1000000</f>
        <v/>
      </c>
      <c r="Q11" s="89">
        <f>Q10*1000000000/Assumptions!$B$23/1000000</f>
        <v/>
      </c>
      <c r="R11" s="89">
        <f>R10*1000000000/Assumptions!$B$23/1000000</f>
        <v/>
      </c>
      <c r="S11" s="89">
        <f>S10*1000000000/Assumptions!$B$23/1000000</f>
        <v/>
      </c>
      <c r="T11" s="89">
        <f>T10*1000000000/Assumptions!$B$23/1000000</f>
        <v/>
      </c>
      <c r="U11" s="89">
        <f>U10*1000000000/Assumptions!$B$23/1000000</f>
        <v/>
      </c>
      <c r="V11" s="89">
        <f>V10*1000000000/Assumptions!$B$23/1000000</f>
        <v/>
      </c>
      <c r="W11" s="89">
        <f>W10*1000000000/Assumptions!$B$23/1000000</f>
        <v/>
      </c>
      <c r="X11" s="89">
        <f>X10*1000000000/Assumptions!$B$23/1000000</f>
        <v/>
      </c>
      <c r="Y11" s="89">
        <f>Y10*1000000000/Assumptions!$B$23/1000000</f>
        <v/>
      </c>
    </row>
    <row r="12" ht="15" customHeight="1" s="56">
      <c r="A12" s="60" t="inlineStr">
        <is>
          <t>Tokens served (M tokens / month)</t>
        </is>
      </c>
      <c r="B12" s="78">
        <f>B10*1000000000*30.4/1000000</f>
        <v/>
      </c>
      <c r="C12" s="78">
        <f>C10*1000000000*30.4/1000000</f>
        <v/>
      </c>
      <c r="D12" s="78">
        <f>D10*1000000000*30.4/1000000</f>
        <v/>
      </c>
      <c r="E12" s="78">
        <f>E10*1000000000*30.4/1000000</f>
        <v/>
      </c>
      <c r="F12" s="78">
        <f>F10*1000000000*30.4/1000000</f>
        <v/>
      </c>
      <c r="G12" s="78">
        <f>G10*1000000000*30.4/1000000</f>
        <v/>
      </c>
      <c r="H12" s="78">
        <f>H10*1000000000*30.4/1000000</f>
        <v/>
      </c>
      <c r="I12" s="78">
        <f>I10*1000000000*30.4/1000000</f>
        <v/>
      </c>
      <c r="J12" s="78">
        <f>J10*1000000000*30.4/1000000</f>
        <v/>
      </c>
      <c r="K12" s="78">
        <f>K10*1000000000*30.4/1000000</f>
        <v/>
      </c>
      <c r="L12" s="78">
        <f>L10*1000000000*30.4/1000000</f>
        <v/>
      </c>
      <c r="M12" s="78">
        <f>M10*1000000000*30.4/1000000</f>
        <v/>
      </c>
      <c r="N12" s="78">
        <f>N10*1000000000*30.4/1000000</f>
        <v/>
      </c>
      <c r="O12" s="78">
        <f>O10*1000000000*30.4/1000000</f>
        <v/>
      </c>
      <c r="P12" s="78">
        <f>P10*1000000000*30.4/1000000</f>
        <v/>
      </c>
      <c r="Q12" s="78">
        <f>Q10*1000000000*30.4/1000000</f>
        <v/>
      </c>
      <c r="R12" s="78">
        <f>R10*1000000000*30.4/1000000</f>
        <v/>
      </c>
      <c r="S12" s="78">
        <f>S10*1000000000*30.4/1000000</f>
        <v/>
      </c>
      <c r="T12" s="78">
        <f>T10*1000000000*30.4/1000000</f>
        <v/>
      </c>
      <c r="U12" s="78">
        <f>U10*1000000000*30.4/1000000</f>
        <v/>
      </c>
      <c r="V12" s="78">
        <f>V10*1000000000*30.4/1000000</f>
        <v/>
      </c>
      <c r="W12" s="78">
        <f>W10*1000000000*30.4/1000000</f>
        <v/>
      </c>
      <c r="X12" s="78">
        <f>X10*1000000000*30.4/1000000</f>
        <v/>
      </c>
      <c r="Y12" s="78">
        <f>Y10*1000000000*30.4/1000000</f>
        <v/>
      </c>
    </row>
    <row r="13" ht="15" customHeight="1" s="56">
      <c r="A13" s="60" t="inlineStr">
        <is>
          <t>Cost to serve ($ / M tokens)</t>
        </is>
      </c>
      <c r="B13" s="101">
        <f>UnitEcon!$B$12*(1-Assumptions!$B$51)^(B$4-1)</f>
        <v/>
      </c>
      <c r="C13" s="101">
        <f>UnitEcon!$B$12*(1-Assumptions!$B$51)^(C$4-1)</f>
        <v/>
      </c>
      <c r="D13" s="101">
        <f>UnitEcon!$B$12*(1-Assumptions!$B$51)^(D$4-1)</f>
        <v/>
      </c>
      <c r="E13" s="101">
        <f>UnitEcon!$B$12*(1-Assumptions!$B$51)^(E$4-1)</f>
        <v/>
      </c>
      <c r="F13" s="101">
        <f>UnitEcon!$B$12*(1-Assumptions!$B$51)^(F$4-1)</f>
        <v/>
      </c>
      <c r="G13" s="101">
        <f>UnitEcon!$B$12*(1-Assumptions!$B$51)^(G$4-1)</f>
        <v/>
      </c>
      <c r="H13" s="101">
        <f>UnitEcon!$B$12*(1-Assumptions!$B$51)^(H$4-1)</f>
        <v/>
      </c>
      <c r="I13" s="101">
        <f>UnitEcon!$B$12*(1-Assumptions!$B$51)^(I$4-1)</f>
        <v/>
      </c>
      <c r="J13" s="101">
        <f>UnitEcon!$B$12*(1-Assumptions!$B$51)^(J$4-1)</f>
        <v/>
      </c>
      <c r="K13" s="101">
        <f>UnitEcon!$B$12*(1-Assumptions!$B$51)^(K$4-1)</f>
        <v/>
      </c>
      <c r="L13" s="101">
        <f>UnitEcon!$B$12*(1-Assumptions!$B$51)^(L$4-1)</f>
        <v/>
      </c>
      <c r="M13" s="101">
        <f>UnitEcon!$B$12*(1-Assumptions!$B$51)^(M$4-1)</f>
        <v/>
      </c>
      <c r="N13" s="101">
        <f>UnitEcon!$B$12*(1-Assumptions!$B$51)^(N$4-1)</f>
        <v/>
      </c>
      <c r="O13" s="101">
        <f>UnitEcon!$B$12*(1-Assumptions!$B$51)^(O$4-1)</f>
        <v/>
      </c>
      <c r="P13" s="101">
        <f>UnitEcon!$B$12*(1-Assumptions!$B$51)^(P$4-1)</f>
        <v/>
      </c>
      <c r="Q13" s="101">
        <f>UnitEcon!$B$12*(1-Assumptions!$B$51)^(Q$4-1)</f>
        <v/>
      </c>
      <c r="R13" s="101">
        <f>UnitEcon!$B$12*(1-Assumptions!$B$51)^(R$4-1)</f>
        <v/>
      </c>
      <c r="S13" s="101">
        <f>UnitEcon!$B$12*(1-Assumptions!$B$51)^(S$4-1)</f>
        <v/>
      </c>
      <c r="T13" s="101">
        <f>UnitEcon!$B$12*(1-Assumptions!$B$51)^(T$4-1)</f>
        <v/>
      </c>
      <c r="U13" s="101">
        <f>UnitEcon!$B$12*(1-Assumptions!$B$51)^(U$4-1)</f>
        <v/>
      </c>
      <c r="V13" s="101">
        <f>UnitEcon!$B$12*(1-Assumptions!$B$51)^(V$4-1)</f>
        <v/>
      </c>
      <c r="W13" s="101">
        <f>UnitEcon!$B$12*(1-Assumptions!$B$51)^(W$4-1)</f>
        <v/>
      </c>
      <c r="X13" s="101">
        <f>UnitEcon!$B$12*(1-Assumptions!$B$51)^(X$4-1)</f>
        <v/>
      </c>
      <c r="Y13" s="101">
        <f>UnitEcon!$B$12*(1-Assumptions!$B$51)^(Y$4-1)</f>
        <v/>
      </c>
    </row>
    <row r="14" ht="15" customHeight="1" s="56">
      <c r="A14" s="60" t="inlineStr">
        <is>
          <t>Gross revenue ($mm)</t>
        </is>
      </c>
      <c r="B14" s="88">
        <f>B12*Assumptions!$B$6/1000000</f>
        <v/>
      </c>
      <c r="C14" s="88">
        <f>C12*Assumptions!$B$6/1000000</f>
        <v/>
      </c>
      <c r="D14" s="88">
        <f>D12*Assumptions!$B$6/1000000</f>
        <v/>
      </c>
      <c r="E14" s="88">
        <f>E12*Assumptions!$B$6/1000000</f>
        <v/>
      </c>
      <c r="F14" s="88">
        <f>F12*Assumptions!$B$6/1000000</f>
        <v/>
      </c>
      <c r="G14" s="88">
        <f>G12*Assumptions!$B$6/1000000</f>
        <v/>
      </c>
      <c r="H14" s="88">
        <f>H12*Assumptions!$B$6/1000000</f>
        <v/>
      </c>
      <c r="I14" s="88">
        <f>I12*Assumptions!$B$6/1000000</f>
        <v/>
      </c>
      <c r="J14" s="88">
        <f>J12*Assumptions!$B$6/1000000</f>
        <v/>
      </c>
      <c r="K14" s="88">
        <f>K12*Assumptions!$B$6/1000000</f>
        <v/>
      </c>
      <c r="L14" s="88">
        <f>L12*Assumptions!$B$6/1000000</f>
        <v/>
      </c>
      <c r="M14" s="88">
        <f>M12*Assumptions!$B$6/1000000</f>
        <v/>
      </c>
      <c r="N14" s="88">
        <f>N12*Assumptions!$B$6/1000000</f>
        <v/>
      </c>
      <c r="O14" s="88">
        <f>O12*Assumptions!$B$6/1000000</f>
        <v/>
      </c>
      <c r="P14" s="88">
        <f>P12*Assumptions!$B$6/1000000</f>
        <v/>
      </c>
      <c r="Q14" s="88">
        <f>Q12*Assumptions!$B$6/1000000</f>
        <v/>
      </c>
      <c r="R14" s="88">
        <f>R12*Assumptions!$B$6/1000000</f>
        <v/>
      </c>
      <c r="S14" s="88">
        <f>S12*Assumptions!$B$6/1000000</f>
        <v/>
      </c>
      <c r="T14" s="88">
        <f>T12*Assumptions!$B$6/1000000</f>
        <v/>
      </c>
      <c r="U14" s="88">
        <f>U12*Assumptions!$B$6/1000000</f>
        <v/>
      </c>
      <c r="V14" s="88">
        <f>V12*Assumptions!$B$6/1000000</f>
        <v/>
      </c>
      <c r="W14" s="88">
        <f>W12*Assumptions!$B$6/1000000</f>
        <v/>
      </c>
      <c r="X14" s="88">
        <f>X12*Assumptions!$B$6/1000000</f>
        <v/>
      </c>
      <c r="Y14" s="88">
        <f>Y12*Assumptions!$B$6/1000000</f>
        <v/>
      </c>
    </row>
    <row r="15" ht="15" customHeight="1" s="56">
      <c r="A15" s="60" t="inlineStr">
        <is>
          <t>Gateway and payment fees ($mm)</t>
        </is>
      </c>
      <c r="B15" s="88">
        <f>B14*UnitEcon!$B$15</f>
        <v/>
      </c>
      <c r="C15" s="88">
        <f>C14*UnitEcon!$B$15</f>
        <v/>
      </c>
      <c r="D15" s="88">
        <f>D14*UnitEcon!$B$15</f>
        <v/>
      </c>
      <c r="E15" s="88">
        <f>E14*UnitEcon!$B$15</f>
        <v/>
      </c>
      <c r="F15" s="88">
        <f>F14*UnitEcon!$B$15</f>
        <v/>
      </c>
      <c r="G15" s="88">
        <f>G14*UnitEcon!$B$15</f>
        <v/>
      </c>
      <c r="H15" s="88">
        <f>H14*UnitEcon!$B$15</f>
        <v/>
      </c>
      <c r="I15" s="88">
        <f>I14*UnitEcon!$B$15</f>
        <v/>
      </c>
      <c r="J15" s="88">
        <f>J14*UnitEcon!$B$15</f>
        <v/>
      </c>
      <c r="K15" s="88">
        <f>K14*UnitEcon!$B$15</f>
        <v/>
      </c>
      <c r="L15" s="88">
        <f>L14*UnitEcon!$B$15</f>
        <v/>
      </c>
      <c r="M15" s="88">
        <f>M14*UnitEcon!$B$15</f>
        <v/>
      </c>
      <c r="N15" s="88">
        <f>N14*UnitEcon!$B$15</f>
        <v/>
      </c>
      <c r="O15" s="88">
        <f>O14*UnitEcon!$B$15</f>
        <v/>
      </c>
      <c r="P15" s="88">
        <f>P14*UnitEcon!$B$15</f>
        <v/>
      </c>
      <c r="Q15" s="88">
        <f>Q14*UnitEcon!$B$15</f>
        <v/>
      </c>
      <c r="R15" s="88">
        <f>R14*UnitEcon!$B$15</f>
        <v/>
      </c>
      <c r="S15" s="88">
        <f>S14*UnitEcon!$B$15</f>
        <v/>
      </c>
      <c r="T15" s="88">
        <f>T14*UnitEcon!$B$15</f>
        <v/>
      </c>
      <c r="U15" s="88">
        <f>U14*UnitEcon!$B$15</f>
        <v/>
      </c>
      <c r="V15" s="88">
        <f>V14*UnitEcon!$B$15</f>
        <v/>
      </c>
      <c r="W15" s="88">
        <f>W14*UnitEcon!$B$15</f>
        <v/>
      </c>
      <c r="X15" s="88">
        <f>X14*UnitEcon!$B$15</f>
        <v/>
      </c>
      <c r="Y15" s="88">
        <f>Y14*UnitEcon!$B$15</f>
        <v/>
      </c>
    </row>
    <row r="16" ht="15" customHeight="1" s="56">
      <c r="A16" s="60" t="inlineStr">
        <is>
          <t>Net revenue ($mm)</t>
        </is>
      </c>
      <c r="B16" s="88">
        <f>B14-B15</f>
        <v/>
      </c>
      <c r="C16" s="88">
        <f>C14-C15</f>
        <v/>
      </c>
      <c r="D16" s="88">
        <f>D14-D15</f>
        <v/>
      </c>
      <c r="E16" s="88">
        <f>E14-E15</f>
        <v/>
      </c>
      <c r="F16" s="88">
        <f>F14-F15</f>
        <v/>
      </c>
      <c r="G16" s="88">
        <f>G14-G15</f>
        <v/>
      </c>
      <c r="H16" s="88">
        <f>H14-H15</f>
        <v/>
      </c>
      <c r="I16" s="88">
        <f>I14-I15</f>
        <v/>
      </c>
      <c r="J16" s="88">
        <f>J14-J15</f>
        <v/>
      </c>
      <c r="K16" s="88">
        <f>K14-K15</f>
        <v/>
      </c>
      <c r="L16" s="88">
        <f>L14-L15</f>
        <v/>
      </c>
      <c r="M16" s="88">
        <f>M14-M15</f>
        <v/>
      </c>
      <c r="N16" s="88">
        <f>N14-N15</f>
        <v/>
      </c>
      <c r="O16" s="88">
        <f>O14-O15</f>
        <v/>
      </c>
      <c r="P16" s="88">
        <f>P14-P15</f>
        <v/>
      </c>
      <c r="Q16" s="88">
        <f>Q14-Q15</f>
        <v/>
      </c>
      <c r="R16" s="88">
        <f>R14-R15</f>
        <v/>
      </c>
      <c r="S16" s="88">
        <f>S14-S15</f>
        <v/>
      </c>
      <c r="T16" s="88">
        <f>T14-T15</f>
        <v/>
      </c>
      <c r="U16" s="88">
        <f>U14-U15</f>
        <v/>
      </c>
      <c r="V16" s="88">
        <f>V14-V15</f>
        <v/>
      </c>
      <c r="W16" s="88">
        <f>W14-W15</f>
        <v/>
      </c>
      <c r="X16" s="88">
        <f>X14-X15</f>
        <v/>
      </c>
      <c r="Y16" s="88">
        <f>Y14-Y15</f>
        <v/>
      </c>
    </row>
    <row r="17" ht="15" customHeight="1" s="56">
      <c r="A17" s="60" t="inlineStr">
        <is>
          <t>Cost of serving ($mm)</t>
        </is>
      </c>
      <c r="B17" s="88">
        <f>B12*B13/1000000</f>
        <v/>
      </c>
      <c r="C17" s="88">
        <f>C12*C13/1000000</f>
        <v/>
      </c>
      <c r="D17" s="88">
        <f>D12*D13/1000000</f>
        <v/>
      </c>
      <c r="E17" s="88">
        <f>E12*E13/1000000</f>
        <v/>
      </c>
      <c r="F17" s="88">
        <f>F12*F13/1000000</f>
        <v/>
      </c>
      <c r="G17" s="88">
        <f>G12*G13/1000000</f>
        <v/>
      </c>
      <c r="H17" s="88">
        <f>H12*H13/1000000</f>
        <v/>
      </c>
      <c r="I17" s="88">
        <f>I12*I13/1000000</f>
        <v/>
      </c>
      <c r="J17" s="88">
        <f>J12*J13/1000000</f>
        <v/>
      </c>
      <c r="K17" s="88">
        <f>K12*K13/1000000</f>
        <v/>
      </c>
      <c r="L17" s="88">
        <f>L12*L13/1000000</f>
        <v/>
      </c>
      <c r="M17" s="88">
        <f>M12*M13/1000000</f>
        <v/>
      </c>
      <c r="N17" s="88">
        <f>N12*N13/1000000</f>
        <v/>
      </c>
      <c r="O17" s="88">
        <f>O12*O13/1000000</f>
        <v/>
      </c>
      <c r="P17" s="88">
        <f>P12*P13/1000000</f>
        <v/>
      </c>
      <c r="Q17" s="88">
        <f>Q12*Q13/1000000</f>
        <v/>
      </c>
      <c r="R17" s="88">
        <f>R12*R13/1000000</f>
        <v/>
      </c>
      <c r="S17" s="88">
        <f>S12*S13/1000000</f>
        <v/>
      </c>
      <c r="T17" s="88">
        <f>T12*T13/1000000</f>
        <v/>
      </c>
      <c r="U17" s="88">
        <f>U12*U13/1000000</f>
        <v/>
      </c>
      <c r="V17" s="88">
        <f>V12*V13/1000000</f>
        <v/>
      </c>
      <c r="W17" s="88">
        <f>W12*W13/1000000</f>
        <v/>
      </c>
      <c r="X17" s="88">
        <f>X12*X13/1000000</f>
        <v/>
      </c>
      <c r="Y17" s="88">
        <f>Y12*Y13/1000000</f>
        <v/>
      </c>
    </row>
    <row r="18" ht="15" customHeight="1" s="56">
      <c r="A18" s="68" t="inlineStr">
        <is>
          <t>Gross profit ($mm)</t>
        </is>
      </c>
      <c r="B18" s="88">
        <f>B16-B17</f>
        <v/>
      </c>
      <c r="C18" s="88">
        <f>C16-C17</f>
        <v/>
      </c>
      <c r="D18" s="88">
        <f>D16-D17</f>
        <v/>
      </c>
      <c r="E18" s="88">
        <f>E16-E17</f>
        <v/>
      </c>
      <c r="F18" s="88">
        <f>F16-F17</f>
        <v/>
      </c>
      <c r="G18" s="88">
        <f>G16-G17</f>
        <v/>
      </c>
      <c r="H18" s="88">
        <f>H16-H17</f>
        <v/>
      </c>
      <c r="I18" s="88">
        <f>I16-I17</f>
        <v/>
      </c>
      <c r="J18" s="88">
        <f>J16-J17</f>
        <v/>
      </c>
      <c r="K18" s="88">
        <f>K16-K17</f>
        <v/>
      </c>
      <c r="L18" s="88">
        <f>L16-L17</f>
        <v/>
      </c>
      <c r="M18" s="88">
        <f>M16-M17</f>
        <v/>
      </c>
      <c r="N18" s="88">
        <f>N16-N17</f>
        <v/>
      </c>
      <c r="O18" s="88">
        <f>O16-O17</f>
        <v/>
      </c>
      <c r="P18" s="88">
        <f>P16-P17</f>
        <v/>
      </c>
      <c r="Q18" s="88">
        <f>Q16-Q17</f>
        <v/>
      </c>
      <c r="R18" s="88">
        <f>R16-R17</f>
        <v/>
      </c>
      <c r="S18" s="88">
        <f>S16-S17</f>
        <v/>
      </c>
      <c r="T18" s="88">
        <f>T16-T17</f>
        <v/>
      </c>
      <c r="U18" s="88">
        <f>U16-U17</f>
        <v/>
      </c>
      <c r="V18" s="88">
        <f>V16-V17</f>
        <v/>
      </c>
      <c r="W18" s="88">
        <f>W16-W17</f>
        <v/>
      </c>
      <c r="X18" s="88">
        <f>X16-X17</f>
        <v/>
      </c>
      <c r="Y18" s="88">
        <f>Y16-Y17</f>
        <v/>
      </c>
    </row>
    <row r="19" ht="15" customHeight="1" s="56">
      <c r="A19" s="60" t="inlineStr">
        <is>
          <t>Gross margin</t>
        </is>
      </c>
      <c r="B19" s="103">
        <f>IF(B16=0,0,B18/B16)</f>
        <v/>
      </c>
      <c r="C19" s="103">
        <f>IF(C16=0,0,C18/C16)</f>
        <v/>
      </c>
      <c r="D19" s="103">
        <f>IF(D16=0,0,D18/D16)</f>
        <v/>
      </c>
      <c r="E19" s="103">
        <f>IF(E16=0,0,E18/E16)</f>
        <v/>
      </c>
      <c r="F19" s="103">
        <f>IF(F16=0,0,F18/F16)</f>
        <v/>
      </c>
      <c r="G19" s="103">
        <f>IF(G16=0,0,G18/G16)</f>
        <v/>
      </c>
      <c r="H19" s="103">
        <f>IF(H16=0,0,H18/H16)</f>
        <v/>
      </c>
      <c r="I19" s="103">
        <f>IF(I16=0,0,I18/I16)</f>
        <v/>
      </c>
      <c r="J19" s="103">
        <f>IF(J16=0,0,J18/J16)</f>
        <v/>
      </c>
      <c r="K19" s="103">
        <f>IF(K16=0,0,K18/K16)</f>
        <v/>
      </c>
      <c r="L19" s="103">
        <f>IF(L16=0,0,L18/L16)</f>
        <v/>
      </c>
      <c r="M19" s="103">
        <f>IF(M16=0,0,M18/M16)</f>
        <v/>
      </c>
      <c r="N19" s="103">
        <f>IF(N16=0,0,N18/N16)</f>
        <v/>
      </c>
      <c r="O19" s="103">
        <f>IF(O16=0,0,O18/O16)</f>
        <v/>
      </c>
      <c r="P19" s="103">
        <f>IF(P16=0,0,P18/P16)</f>
        <v/>
      </c>
      <c r="Q19" s="103">
        <f>IF(Q16=0,0,Q18/Q16)</f>
        <v/>
      </c>
      <c r="R19" s="103">
        <f>IF(R16=0,0,R18/R16)</f>
        <v/>
      </c>
      <c r="S19" s="103">
        <f>IF(S16=0,0,S18/S16)</f>
        <v/>
      </c>
      <c r="T19" s="103">
        <f>IF(T16=0,0,T18/T16)</f>
        <v/>
      </c>
      <c r="U19" s="103">
        <f>IF(U16=0,0,U18/U16)</f>
        <v/>
      </c>
      <c r="V19" s="103">
        <f>IF(V16=0,0,V18/V16)</f>
        <v/>
      </c>
      <c r="W19" s="103">
        <f>IF(W16=0,0,W18/W16)</f>
        <v/>
      </c>
      <c r="X19" s="103">
        <f>IF(X16=0,0,X18/X16)</f>
        <v/>
      </c>
      <c r="Y19" s="103">
        <f>IF(Y16=0,0,Y18/Y16)</f>
        <v/>
      </c>
    </row>
    <row r="20" ht="15" customHeight="1" s="56">
      <c r="A20" s="68" t="inlineStr">
        <is>
          <t>Net burn ($mm)</t>
        </is>
      </c>
      <c r="B20" s="88">
        <f>B6+B7+B8+B9-B18</f>
        <v/>
      </c>
      <c r="C20" s="88">
        <f>C6+C7+C8+C9-C18</f>
        <v/>
      </c>
      <c r="D20" s="88">
        <f>D6+D7+D8+D9-D18</f>
        <v/>
      </c>
      <c r="E20" s="88">
        <f>E6+E7+E8+E9-E18</f>
        <v/>
      </c>
      <c r="F20" s="88">
        <f>F6+F7+F8+F9-F18</f>
        <v/>
      </c>
      <c r="G20" s="88">
        <f>G6+G7+G8+G9-G18</f>
        <v/>
      </c>
      <c r="H20" s="88">
        <f>H6+H7+H8+H9-H18</f>
        <v/>
      </c>
      <c r="I20" s="88">
        <f>I6+I7+I8+I9-I18</f>
        <v/>
      </c>
      <c r="J20" s="88">
        <f>J6+J7+J8+J9-J18</f>
        <v/>
      </c>
      <c r="K20" s="88">
        <f>K6+K7+K8+K9-K18</f>
        <v/>
      </c>
      <c r="L20" s="88">
        <f>L6+L7+L8+L9-L18</f>
        <v/>
      </c>
      <c r="M20" s="88">
        <f>M6+M7+M8+M9-M18</f>
        <v/>
      </c>
      <c r="N20" s="88">
        <f>N6+N7+N8+N9-N18</f>
        <v/>
      </c>
      <c r="O20" s="88">
        <f>O6+O7+O8+O9-O18</f>
        <v/>
      </c>
      <c r="P20" s="88">
        <f>P6+P7+P8+P9-P18</f>
        <v/>
      </c>
      <c r="Q20" s="88">
        <f>Q6+Q7+Q8+Q9-Q18</f>
        <v/>
      </c>
      <c r="R20" s="88">
        <f>R6+R7+R8+R9-R18</f>
        <v/>
      </c>
      <c r="S20" s="88">
        <f>S6+S7+S8+S9-S18</f>
        <v/>
      </c>
      <c r="T20" s="88">
        <f>T6+T7+T8+T9-T18</f>
        <v/>
      </c>
      <c r="U20" s="88">
        <f>U6+U7+U8+U9-U18</f>
        <v/>
      </c>
      <c r="V20" s="88">
        <f>V6+V7+V8+V9-V18</f>
        <v/>
      </c>
      <c r="W20" s="88">
        <f>W6+W7+W8+W9-W18</f>
        <v/>
      </c>
      <c r="X20" s="88">
        <f>X6+X7+X8+X9-X18</f>
        <v/>
      </c>
      <c r="Y20" s="88">
        <f>Y6+Y7+Y8+Y9-Y18</f>
        <v/>
      </c>
    </row>
    <row r="21" ht="15" customHeight="1" s="56">
      <c r="A21" s="60" t="inlineStr">
        <is>
          <t>Cumulative burn ($mm)</t>
        </is>
      </c>
      <c r="B21" s="88">
        <f>B20</f>
        <v/>
      </c>
      <c r="C21" s="88">
        <f>B21+C20</f>
        <v/>
      </c>
      <c r="D21" s="88">
        <f>C21+D20</f>
        <v/>
      </c>
      <c r="E21" s="88">
        <f>D21+E20</f>
        <v/>
      </c>
      <c r="F21" s="88">
        <f>E21+F20</f>
        <v/>
      </c>
      <c r="G21" s="88">
        <f>F21+G20</f>
        <v/>
      </c>
      <c r="H21" s="88">
        <f>G21+H20</f>
        <v/>
      </c>
      <c r="I21" s="88">
        <f>H21+I20</f>
        <v/>
      </c>
      <c r="J21" s="88">
        <f>I21+J20</f>
        <v/>
      </c>
      <c r="K21" s="88">
        <f>J21+K20</f>
        <v/>
      </c>
      <c r="L21" s="88">
        <f>K21+L20</f>
        <v/>
      </c>
      <c r="M21" s="88">
        <f>L21+M20</f>
        <v/>
      </c>
      <c r="N21" s="88">
        <f>M21+N20</f>
        <v/>
      </c>
      <c r="O21" s="88">
        <f>N21+O20</f>
        <v/>
      </c>
      <c r="P21" s="88">
        <f>O21+P20</f>
        <v/>
      </c>
      <c r="Q21" s="88">
        <f>P21+Q20</f>
        <v/>
      </c>
      <c r="R21" s="88">
        <f>Q21+R20</f>
        <v/>
      </c>
      <c r="S21" s="88">
        <f>R21+S20</f>
        <v/>
      </c>
      <c r="T21" s="88">
        <f>S21+T20</f>
        <v/>
      </c>
      <c r="U21" s="88">
        <f>T21+U20</f>
        <v/>
      </c>
      <c r="V21" s="88">
        <f>U21+V20</f>
        <v/>
      </c>
      <c r="W21" s="88">
        <f>V21+W20</f>
        <v/>
      </c>
      <c r="X21" s="88">
        <f>W21+X20</f>
        <v/>
      </c>
      <c r="Y21" s="88">
        <f>X21+Y20</f>
        <v/>
      </c>
    </row>
    <row r="22" ht="15" customHeight="1" s="56">
      <c r="A22" s="68" t="inlineStr">
        <is>
          <t>Cash, end of month, base case ($mm)</t>
        </is>
      </c>
      <c r="B22" s="88">
        <f>Assumptions!$B$31-B21</f>
        <v/>
      </c>
      <c r="C22" s="88">
        <f>Assumptions!$B$31-C21</f>
        <v/>
      </c>
      <c r="D22" s="88">
        <f>Assumptions!$B$31-D21</f>
        <v/>
      </c>
      <c r="E22" s="88">
        <f>Assumptions!$B$31-E21</f>
        <v/>
      </c>
      <c r="F22" s="88">
        <f>Assumptions!$B$31-F21</f>
        <v/>
      </c>
      <c r="G22" s="88">
        <f>Assumptions!$B$31-G21</f>
        <v/>
      </c>
      <c r="H22" s="88">
        <f>Assumptions!$B$31-H21</f>
        <v/>
      </c>
      <c r="I22" s="88">
        <f>Assumptions!$B$31-I21</f>
        <v/>
      </c>
      <c r="J22" s="88">
        <f>Assumptions!$B$31-J21</f>
        <v/>
      </c>
      <c r="K22" s="88">
        <f>Assumptions!$B$31-K21</f>
        <v/>
      </c>
      <c r="L22" s="88">
        <f>Assumptions!$B$31-L21</f>
        <v/>
      </c>
      <c r="M22" s="88">
        <f>Assumptions!$B$31-M21</f>
        <v/>
      </c>
      <c r="N22" s="88">
        <f>Assumptions!$B$31-N21</f>
        <v/>
      </c>
      <c r="O22" s="88">
        <f>Assumptions!$B$31-O21</f>
        <v/>
      </c>
      <c r="P22" s="88">
        <f>Assumptions!$B$31-P21</f>
        <v/>
      </c>
      <c r="Q22" s="88">
        <f>Assumptions!$B$31-Q21</f>
        <v/>
      </c>
      <c r="R22" s="88">
        <f>Assumptions!$B$31-R21</f>
        <v/>
      </c>
      <c r="S22" s="88">
        <f>Assumptions!$B$31-S21</f>
        <v/>
      </c>
      <c r="T22" s="88">
        <f>Assumptions!$B$31-T21</f>
        <v/>
      </c>
      <c r="U22" s="88">
        <f>Assumptions!$B$31-U21</f>
        <v/>
      </c>
      <c r="V22" s="88">
        <f>Assumptions!$B$31-V21</f>
        <v/>
      </c>
      <c r="W22" s="88">
        <f>Assumptions!$B$31-W21</f>
        <v/>
      </c>
      <c r="X22" s="88">
        <f>Assumptions!$B$31-X21</f>
        <v/>
      </c>
      <c r="Y22" s="88">
        <f>Assumptions!$B$31-Y21</f>
        <v/>
      </c>
    </row>
    <row r="23" ht="15" customHeight="1" s="56">
      <c r="A23" s="60" t="inlineStr">
        <is>
          <t>Gross profit positive? (1 = yes)</t>
        </is>
      </c>
      <c r="B23" s="110">
        <f>IF(B18&gt;0,1,0)</f>
        <v/>
      </c>
      <c r="C23" s="110">
        <f>IF(C18&gt;0,1,0)</f>
        <v/>
      </c>
      <c r="D23" s="110">
        <f>IF(D18&gt;0,1,0)</f>
        <v/>
      </c>
      <c r="E23" s="110">
        <f>IF(E18&gt;0,1,0)</f>
        <v/>
      </c>
      <c r="F23" s="110">
        <f>IF(F18&gt;0,1,0)</f>
        <v/>
      </c>
      <c r="G23" s="110">
        <f>IF(G18&gt;0,1,0)</f>
        <v/>
      </c>
      <c r="H23" s="110">
        <f>IF(H18&gt;0,1,0)</f>
        <v/>
      </c>
      <c r="I23" s="110">
        <f>IF(I18&gt;0,1,0)</f>
        <v/>
      </c>
      <c r="J23" s="110">
        <f>IF(J18&gt;0,1,0)</f>
        <v/>
      </c>
      <c r="K23" s="110">
        <f>IF(K18&gt;0,1,0)</f>
        <v/>
      </c>
      <c r="L23" s="110">
        <f>IF(L18&gt;0,1,0)</f>
        <v/>
      </c>
      <c r="M23" s="110">
        <f>IF(M18&gt;0,1,0)</f>
        <v/>
      </c>
      <c r="N23" s="110">
        <f>IF(N18&gt;0,1,0)</f>
        <v/>
      </c>
      <c r="O23" s="110">
        <f>IF(O18&gt;0,1,0)</f>
        <v/>
      </c>
      <c r="P23" s="110">
        <f>IF(P18&gt;0,1,0)</f>
        <v/>
      </c>
      <c r="Q23" s="110">
        <f>IF(Q18&gt;0,1,0)</f>
        <v/>
      </c>
      <c r="R23" s="110">
        <f>IF(R18&gt;0,1,0)</f>
        <v/>
      </c>
      <c r="S23" s="110">
        <f>IF(S18&gt;0,1,0)</f>
        <v/>
      </c>
      <c r="T23" s="110">
        <f>IF(T18&gt;0,1,0)</f>
        <v/>
      </c>
      <c r="U23" s="110">
        <f>IF(U18&gt;0,1,0)</f>
        <v/>
      </c>
      <c r="V23" s="110">
        <f>IF(V18&gt;0,1,0)</f>
        <v/>
      </c>
      <c r="W23" s="110">
        <f>IF(W18&gt;0,1,0)</f>
        <v/>
      </c>
      <c r="X23" s="110">
        <f>IF(X18&gt;0,1,0)</f>
        <v/>
      </c>
      <c r="Y23" s="110">
        <f>IF(Y18&gt;0,1,0)</f>
        <v/>
      </c>
    </row>
    <row r="24" ht="15" customHeight="1" s="56">
      <c r="A24" s="60" t="inlineStr">
        <is>
          <t>Funded? low cash case</t>
        </is>
      </c>
      <c r="B24" s="110">
        <f>IF(Assumptions!$B$30-B21&gt;0,1,0)</f>
        <v/>
      </c>
      <c r="C24" s="110">
        <f>IF(AND(B24=1,Assumptions!$B$30-C21&gt;0),1,0)</f>
        <v/>
      </c>
      <c r="D24" s="110">
        <f>IF(AND(C24=1,Assumptions!$B$30-D21&gt;0),1,0)</f>
        <v/>
      </c>
      <c r="E24" s="110">
        <f>IF(AND(D24=1,Assumptions!$B$30-E21&gt;0),1,0)</f>
        <v/>
      </c>
      <c r="F24" s="110">
        <f>IF(AND(E24=1,Assumptions!$B$30-F21&gt;0),1,0)</f>
        <v/>
      </c>
      <c r="G24" s="110">
        <f>IF(AND(F24=1,Assumptions!$B$30-G21&gt;0),1,0)</f>
        <v/>
      </c>
      <c r="H24" s="110">
        <f>IF(AND(G24=1,Assumptions!$B$30-H21&gt;0),1,0)</f>
        <v/>
      </c>
      <c r="I24" s="110">
        <f>IF(AND(H24=1,Assumptions!$B$30-I21&gt;0),1,0)</f>
        <v/>
      </c>
      <c r="J24" s="110">
        <f>IF(AND(I24=1,Assumptions!$B$30-J21&gt;0),1,0)</f>
        <v/>
      </c>
      <c r="K24" s="110">
        <f>IF(AND(J24=1,Assumptions!$B$30-K21&gt;0),1,0)</f>
        <v/>
      </c>
      <c r="L24" s="110">
        <f>IF(AND(K24=1,Assumptions!$B$30-L21&gt;0),1,0)</f>
        <v/>
      </c>
      <c r="M24" s="110">
        <f>IF(AND(L24=1,Assumptions!$B$30-M21&gt;0),1,0)</f>
        <v/>
      </c>
      <c r="N24" s="110">
        <f>IF(AND(M24=1,Assumptions!$B$30-N21&gt;0),1,0)</f>
        <v/>
      </c>
      <c r="O24" s="110">
        <f>IF(AND(N24=1,Assumptions!$B$30-O21&gt;0),1,0)</f>
        <v/>
      </c>
      <c r="P24" s="110">
        <f>IF(AND(O24=1,Assumptions!$B$30-P21&gt;0),1,0)</f>
        <v/>
      </c>
      <c r="Q24" s="110">
        <f>IF(AND(P24=1,Assumptions!$B$30-Q21&gt;0),1,0)</f>
        <v/>
      </c>
      <c r="R24" s="110">
        <f>IF(AND(Q24=1,Assumptions!$B$30-R21&gt;0),1,0)</f>
        <v/>
      </c>
      <c r="S24" s="110">
        <f>IF(AND(R24=1,Assumptions!$B$30-S21&gt;0),1,0)</f>
        <v/>
      </c>
      <c r="T24" s="110">
        <f>IF(AND(S24=1,Assumptions!$B$30-T21&gt;0),1,0)</f>
        <v/>
      </c>
      <c r="U24" s="110">
        <f>IF(AND(T24=1,Assumptions!$B$30-U21&gt;0),1,0)</f>
        <v/>
      </c>
      <c r="V24" s="110">
        <f>IF(AND(U24=1,Assumptions!$B$30-V21&gt;0),1,0)</f>
        <v/>
      </c>
      <c r="W24" s="110">
        <f>IF(AND(V24=1,Assumptions!$B$30-W21&gt;0),1,0)</f>
        <v/>
      </c>
      <c r="X24" s="110">
        <f>IF(AND(W24=1,Assumptions!$B$30-X21&gt;0),1,0)</f>
        <v/>
      </c>
      <c r="Y24" s="110">
        <f>IF(AND(X24=1,Assumptions!$B$30-Y21&gt;0),1,0)</f>
        <v/>
      </c>
    </row>
    <row r="25" ht="15" customHeight="1" s="56">
      <c r="A25" s="60" t="inlineStr">
        <is>
          <t>Funded? base cash case</t>
        </is>
      </c>
      <c r="B25" s="110">
        <f>IF(Assumptions!$B$31-B21&gt;0,1,0)</f>
        <v/>
      </c>
      <c r="C25" s="110">
        <f>IF(AND(B25=1,Assumptions!$B$31-C21&gt;0),1,0)</f>
        <v/>
      </c>
      <c r="D25" s="110">
        <f>IF(AND(C25=1,Assumptions!$B$31-D21&gt;0),1,0)</f>
        <v/>
      </c>
      <c r="E25" s="110">
        <f>IF(AND(D25=1,Assumptions!$B$31-E21&gt;0),1,0)</f>
        <v/>
      </c>
      <c r="F25" s="110">
        <f>IF(AND(E25=1,Assumptions!$B$31-F21&gt;0),1,0)</f>
        <v/>
      </c>
      <c r="G25" s="110">
        <f>IF(AND(F25=1,Assumptions!$B$31-G21&gt;0),1,0)</f>
        <v/>
      </c>
      <c r="H25" s="110">
        <f>IF(AND(G25=1,Assumptions!$B$31-H21&gt;0),1,0)</f>
        <v/>
      </c>
      <c r="I25" s="110">
        <f>IF(AND(H25=1,Assumptions!$B$31-I21&gt;0),1,0)</f>
        <v/>
      </c>
      <c r="J25" s="110">
        <f>IF(AND(I25=1,Assumptions!$B$31-J21&gt;0),1,0)</f>
        <v/>
      </c>
      <c r="K25" s="110">
        <f>IF(AND(J25=1,Assumptions!$B$31-K21&gt;0),1,0)</f>
        <v/>
      </c>
      <c r="L25" s="110">
        <f>IF(AND(K25=1,Assumptions!$B$31-L21&gt;0),1,0)</f>
        <v/>
      </c>
      <c r="M25" s="110">
        <f>IF(AND(L25=1,Assumptions!$B$31-M21&gt;0),1,0)</f>
        <v/>
      </c>
      <c r="N25" s="110">
        <f>IF(AND(M25=1,Assumptions!$B$31-N21&gt;0),1,0)</f>
        <v/>
      </c>
      <c r="O25" s="110">
        <f>IF(AND(N25=1,Assumptions!$B$31-O21&gt;0),1,0)</f>
        <v/>
      </c>
      <c r="P25" s="110">
        <f>IF(AND(O25=1,Assumptions!$B$31-P21&gt;0),1,0)</f>
        <v/>
      </c>
      <c r="Q25" s="110">
        <f>IF(AND(P25=1,Assumptions!$B$31-Q21&gt;0),1,0)</f>
        <v/>
      </c>
      <c r="R25" s="110">
        <f>IF(AND(Q25=1,Assumptions!$B$31-R21&gt;0),1,0)</f>
        <v/>
      </c>
      <c r="S25" s="110">
        <f>IF(AND(R25=1,Assumptions!$B$31-S21&gt;0),1,0)</f>
        <v/>
      </c>
      <c r="T25" s="110">
        <f>IF(AND(S25=1,Assumptions!$B$31-T21&gt;0),1,0)</f>
        <v/>
      </c>
      <c r="U25" s="110">
        <f>IF(AND(T25=1,Assumptions!$B$31-U21&gt;0),1,0)</f>
        <v/>
      </c>
      <c r="V25" s="110">
        <f>IF(AND(U25=1,Assumptions!$B$31-V21&gt;0),1,0)</f>
        <v/>
      </c>
      <c r="W25" s="110">
        <f>IF(AND(V25=1,Assumptions!$B$31-W21&gt;0),1,0)</f>
        <v/>
      </c>
      <c r="X25" s="110">
        <f>IF(AND(W25=1,Assumptions!$B$31-X21&gt;0),1,0)</f>
        <v/>
      </c>
      <c r="Y25" s="110">
        <f>IF(AND(X25=1,Assumptions!$B$31-Y21&gt;0),1,0)</f>
        <v/>
      </c>
    </row>
    <row r="26" ht="15" customHeight="1" s="56">
      <c r="A26" s="60" t="inlineStr">
        <is>
          <t>Funded? high cash case</t>
        </is>
      </c>
      <c r="B26" s="110">
        <f>IF(Assumptions!$B$32-B21&gt;0,1,0)</f>
        <v/>
      </c>
      <c r="C26" s="110">
        <f>IF(AND(B26=1,Assumptions!$B$32-C21&gt;0),1,0)</f>
        <v/>
      </c>
      <c r="D26" s="110">
        <f>IF(AND(C26=1,Assumptions!$B$32-D21&gt;0),1,0)</f>
        <v/>
      </c>
      <c r="E26" s="110">
        <f>IF(AND(D26=1,Assumptions!$B$32-E21&gt;0),1,0)</f>
        <v/>
      </c>
      <c r="F26" s="110">
        <f>IF(AND(E26=1,Assumptions!$B$32-F21&gt;0),1,0)</f>
        <v/>
      </c>
      <c r="G26" s="110">
        <f>IF(AND(F26=1,Assumptions!$B$32-G21&gt;0),1,0)</f>
        <v/>
      </c>
      <c r="H26" s="110">
        <f>IF(AND(G26=1,Assumptions!$B$32-H21&gt;0),1,0)</f>
        <v/>
      </c>
      <c r="I26" s="110">
        <f>IF(AND(H26=1,Assumptions!$B$32-I21&gt;0),1,0)</f>
        <v/>
      </c>
      <c r="J26" s="110">
        <f>IF(AND(I26=1,Assumptions!$B$32-J21&gt;0),1,0)</f>
        <v/>
      </c>
      <c r="K26" s="110">
        <f>IF(AND(J26=1,Assumptions!$B$32-K21&gt;0),1,0)</f>
        <v/>
      </c>
      <c r="L26" s="110">
        <f>IF(AND(K26=1,Assumptions!$B$32-L21&gt;0),1,0)</f>
        <v/>
      </c>
      <c r="M26" s="110">
        <f>IF(AND(L26=1,Assumptions!$B$32-M21&gt;0),1,0)</f>
        <v/>
      </c>
      <c r="N26" s="110">
        <f>IF(AND(M26=1,Assumptions!$B$32-N21&gt;0),1,0)</f>
        <v/>
      </c>
      <c r="O26" s="110">
        <f>IF(AND(N26=1,Assumptions!$B$32-O21&gt;0),1,0)</f>
        <v/>
      </c>
      <c r="P26" s="110">
        <f>IF(AND(O26=1,Assumptions!$B$32-P21&gt;0),1,0)</f>
        <v/>
      </c>
      <c r="Q26" s="110">
        <f>IF(AND(P26=1,Assumptions!$B$32-Q21&gt;0),1,0)</f>
        <v/>
      </c>
      <c r="R26" s="110">
        <f>IF(AND(Q26=1,Assumptions!$B$32-R21&gt;0),1,0)</f>
        <v/>
      </c>
      <c r="S26" s="110">
        <f>IF(AND(R26=1,Assumptions!$B$32-S21&gt;0),1,0)</f>
        <v/>
      </c>
      <c r="T26" s="110">
        <f>IF(AND(S26=1,Assumptions!$B$32-T21&gt;0),1,0)</f>
        <v/>
      </c>
      <c r="U26" s="110">
        <f>IF(AND(T26=1,Assumptions!$B$32-U21&gt;0),1,0)</f>
        <v/>
      </c>
      <c r="V26" s="110">
        <f>IF(AND(U26=1,Assumptions!$B$32-V21&gt;0),1,0)</f>
        <v/>
      </c>
      <c r="W26" s="110">
        <f>IF(AND(V26=1,Assumptions!$B$32-W21&gt;0),1,0)</f>
        <v/>
      </c>
      <c r="X26" s="110">
        <f>IF(AND(W26=1,Assumptions!$B$32-X21&gt;0),1,0)</f>
        <v/>
      </c>
      <c r="Y26" s="110">
        <f>IF(AND(X26=1,Assumptions!$B$32-Y21&gt;0),1,0)</f>
        <v/>
      </c>
    </row>
    <row r="27" ht="15" customHeight="1" s="56">
      <c r="A27" s="60" t="inlineStr">
        <is>
          <t>Payroll, current team only ($mm)</t>
        </is>
      </c>
      <c r="B27" s="88">
        <f>Hiring!$H$32/1000/12</f>
        <v/>
      </c>
      <c r="C27" s="88">
        <f>Hiring!$H$32/1000/12</f>
        <v/>
      </c>
      <c r="D27" s="88">
        <f>Hiring!$H$32/1000/12</f>
        <v/>
      </c>
      <c r="E27" s="88">
        <f>Hiring!$H$32/1000/12</f>
        <v/>
      </c>
      <c r="F27" s="88">
        <f>Hiring!$H$32/1000/12</f>
        <v/>
      </c>
      <c r="G27" s="88">
        <f>Hiring!$H$32/1000/12</f>
        <v/>
      </c>
      <c r="H27" s="88">
        <f>Hiring!$H$32/1000/12</f>
        <v/>
      </c>
      <c r="I27" s="88">
        <f>Hiring!$H$32/1000/12</f>
        <v/>
      </c>
      <c r="J27" s="88">
        <f>Hiring!$H$32/1000/12</f>
        <v/>
      </c>
      <c r="K27" s="88">
        <f>Hiring!$H$32/1000/12</f>
        <v/>
      </c>
      <c r="L27" s="88">
        <f>Hiring!$H$32/1000/12</f>
        <v/>
      </c>
      <c r="M27" s="88">
        <f>Hiring!$H$32/1000/12</f>
        <v/>
      </c>
      <c r="N27" s="88">
        <f>Hiring!$H$32/1000/12</f>
        <v/>
      </c>
      <c r="O27" s="88">
        <f>Hiring!$H$32/1000/12</f>
        <v/>
      </c>
      <c r="P27" s="88">
        <f>Hiring!$H$32/1000/12</f>
        <v/>
      </c>
      <c r="Q27" s="88">
        <f>Hiring!$H$32/1000/12</f>
        <v/>
      </c>
      <c r="R27" s="88">
        <f>Hiring!$H$32/1000/12</f>
        <v/>
      </c>
      <c r="S27" s="88">
        <f>Hiring!$H$32/1000/12</f>
        <v/>
      </c>
      <c r="T27" s="88">
        <f>Hiring!$H$32/1000/12</f>
        <v/>
      </c>
      <c r="U27" s="88">
        <f>Hiring!$H$32/1000/12</f>
        <v/>
      </c>
      <c r="V27" s="88">
        <f>Hiring!$H$32/1000/12</f>
        <v/>
      </c>
      <c r="W27" s="88">
        <f>Hiring!$H$32/1000/12</f>
        <v/>
      </c>
      <c r="X27" s="88">
        <f>Hiring!$H$32/1000/12</f>
        <v/>
      </c>
      <c r="Y27" s="88">
        <f>Hiring!$H$32/1000/12</f>
        <v/>
      </c>
    </row>
    <row r="28" ht="15" customHeight="1" s="56">
      <c r="A28" s="60" t="inlineStr">
        <is>
          <t>Net burn without planned hires ($mm)</t>
        </is>
      </c>
      <c r="B28" s="88">
        <f>B20-B6+B27</f>
        <v/>
      </c>
      <c r="C28" s="88">
        <f>C20-C6+C27</f>
        <v/>
      </c>
      <c r="D28" s="88">
        <f>D20-D6+D27</f>
        <v/>
      </c>
      <c r="E28" s="88">
        <f>E20-E6+E27</f>
        <v/>
      </c>
      <c r="F28" s="88">
        <f>F20-F6+F27</f>
        <v/>
      </c>
      <c r="G28" s="88">
        <f>G20-G6+G27</f>
        <v/>
      </c>
      <c r="H28" s="88">
        <f>H20-H6+H27</f>
        <v/>
      </c>
      <c r="I28" s="88">
        <f>I20-I6+I27</f>
        <v/>
      </c>
      <c r="J28" s="88">
        <f>J20-J6+J27</f>
        <v/>
      </c>
      <c r="K28" s="88">
        <f>K20-K6+K27</f>
        <v/>
      </c>
      <c r="L28" s="88">
        <f>L20-L6+L27</f>
        <v/>
      </c>
      <c r="M28" s="88">
        <f>M20-M6+M27</f>
        <v/>
      </c>
      <c r="N28" s="88">
        <f>N20-N6+N27</f>
        <v/>
      </c>
      <c r="O28" s="88">
        <f>O20-O6+O27</f>
        <v/>
      </c>
      <c r="P28" s="88">
        <f>P20-P6+P27</f>
        <v/>
      </c>
      <c r="Q28" s="88">
        <f>Q20-Q6+Q27</f>
        <v/>
      </c>
      <c r="R28" s="88">
        <f>R20-R6+R27</f>
        <v/>
      </c>
      <c r="S28" s="88">
        <f>S20-S6+S27</f>
        <v/>
      </c>
      <c r="T28" s="88">
        <f>T20-T6+T27</f>
        <v/>
      </c>
      <c r="U28" s="88">
        <f>U20-U6+U27</f>
        <v/>
      </c>
      <c r="V28" s="88">
        <f>V20-V6+V27</f>
        <v/>
      </c>
      <c r="W28" s="88">
        <f>W20-W6+W27</f>
        <v/>
      </c>
      <c r="X28" s="88">
        <f>X20-X6+X27</f>
        <v/>
      </c>
      <c r="Y28" s="88">
        <f>Y20-Y6+Y27</f>
        <v/>
      </c>
    </row>
    <row r="29" ht="15" customHeight="1" s="56">
      <c r="A29" s="60" t="inlineStr">
        <is>
          <t>Cumulative burn without planned hires ($mm)</t>
        </is>
      </c>
      <c r="B29" s="88">
        <f>B28</f>
        <v/>
      </c>
      <c r="C29" s="88">
        <f>B29+C28</f>
        <v/>
      </c>
      <c r="D29" s="88">
        <f>C29+D28</f>
        <v/>
      </c>
      <c r="E29" s="88">
        <f>D29+E28</f>
        <v/>
      </c>
      <c r="F29" s="88">
        <f>E29+F28</f>
        <v/>
      </c>
      <c r="G29" s="88">
        <f>F29+G28</f>
        <v/>
      </c>
      <c r="H29" s="88">
        <f>G29+H28</f>
        <v/>
      </c>
      <c r="I29" s="88">
        <f>H29+I28</f>
        <v/>
      </c>
      <c r="J29" s="88">
        <f>I29+J28</f>
        <v/>
      </c>
      <c r="K29" s="88">
        <f>J29+K28</f>
        <v/>
      </c>
      <c r="L29" s="88">
        <f>K29+L28</f>
        <v/>
      </c>
      <c r="M29" s="88">
        <f>L29+M28</f>
        <v/>
      </c>
      <c r="N29" s="88">
        <f>M29+N28</f>
        <v/>
      </c>
      <c r="O29" s="88">
        <f>N29+O28</f>
        <v/>
      </c>
      <c r="P29" s="88">
        <f>O29+P28</f>
        <v/>
      </c>
      <c r="Q29" s="88">
        <f>P29+Q28</f>
        <v/>
      </c>
      <c r="R29" s="88">
        <f>Q29+R28</f>
        <v/>
      </c>
      <c r="S29" s="88">
        <f>R29+S28</f>
        <v/>
      </c>
      <c r="T29" s="88">
        <f>S29+T28</f>
        <v/>
      </c>
      <c r="U29" s="88">
        <f>T29+U28</f>
        <v/>
      </c>
      <c r="V29" s="88">
        <f>U29+V28</f>
        <v/>
      </c>
      <c r="W29" s="88">
        <f>V29+W28</f>
        <v/>
      </c>
      <c r="X29" s="88">
        <f>W29+X28</f>
        <v/>
      </c>
      <c r="Y29" s="88">
        <f>X29+Y28</f>
        <v/>
      </c>
    </row>
    <row r="30" ht="15" customHeight="1" s="56">
      <c r="A30" s="60" t="inlineStr">
        <is>
          <t>Funded? base cash, no planned hires</t>
        </is>
      </c>
      <c r="B30" s="110">
        <f>IF(Assumptions!$B$31-B29&gt;0,1,0)</f>
        <v/>
      </c>
      <c r="C30" s="110">
        <f>IF(AND(B30=1,Assumptions!$B$31-C29&gt;0),1,0)</f>
        <v/>
      </c>
      <c r="D30" s="110">
        <f>IF(AND(C30=1,Assumptions!$B$31-D29&gt;0),1,0)</f>
        <v/>
      </c>
      <c r="E30" s="110">
        <f>IF(AND(D30=1,Assumptions!$B$31-E29&gt;0),1,0)</f>
        <v/>
      </c>
      <c r="F30" s="110">
        <f>IF(AND(E30=1,Assumptions!$B$31-F29&gt;0),1,0)</f>
        <v/>
      </c>
      <c r="G30" s="110">
        <f>IF(AND(F30=1,Assumptions!$B$31-G29&gt;0),1,0)</f>
        <v/>
      </c>
      <c r="H30" s="110">
        <f>IF(AND(G30=1,Assumptions!$B$31-H29&gt;0),1,0)</f>
        <v/>
      </c>
      <c r="I30" s="110">
        <f>IF(AND(H30=1,Assumptions!$B$31-I29&gt;0),1,0)</f>
        <v/>
      </c>
      <c r="J30" s="110">
        <f>IF(AND(I30=1,Assumptions!$B$31-J29&gt;0),1,0)</f>
        <v/>
      </c>
      <c r="K30" s="110">
        <f>IF(AND(J30=1,Assumptions!$B$31-K29&gt;0),1,0)</f>
        <v/>
      </c>
      <c r="L30" s="110">
        <f>IF(AND(K30=1,Assumptions!$B$31-L29&gt;0),1,0)</f>
        <v/>
      </c>
      <c r="M30" s="110">
        <f>IF(AND(L30=1,Assumptions!$B$31-M29&gt;0),1,0)</f>
        <v/>
      </c>
      <c r="N30" s="110">
        <f>IF(AND(M30=1,Assumptions!$B$31-N29&gt;0),1,0)</f>
        <v/>
      </c>
      <c r="O30" s="110">
        <f>IF(AND(N30=1,Assumptions!$B$31-O29&gt;0),1,0)</f>
        <v/>
      </c>
      <c r="P30" s="110">
        <f>IF(AND(O30=1,Assumptions!$B$31-P29&gt;0),1,0)</f>
        <v/>
      </c>
      <c r="Q30" s="110">
        <f>IF(AND(P30=1,Assumptions!$B$31-Q29&gt;0),1,0)</f>
        <v/>
      </c>
      <c r="R30" s="110">
        <f>IF(AND(Q30=1,Assumptions!$B$31-R29&gt;0),1,0)</f>
        <v/>
      </c>
      <c r="S30" s="110">
        <f>IF(AND(R30=1,Assumptions!$B$31-S29&gt;0),1,0)</f>
        <v/>
      </c>
      <c r="T30" s="110">
        <f>IF(AND(S30=1,Assumptions!$B$31-T29&gt;0),1,0)</f>
        <v/>
      </c>
      <c r="U30" s="110">
        <f>IF(AND(T30=1,Assumptions!$B$31-U29&gt;0),1,0)</f>
        <v/>
      </c>
      <c r="V30" s="110">
        <f>IF(AND(U30=1,Assumptions!$B$31-V29&gt;0),1,0)</f>
        <v/>
      </c>
      <c r="W30" s="110">
        <f>IF(AND(V30=1,Assumptions!$B$31-W29&gt;0),1,0)</f>
        <v/>
      </c>
      <c r="X30" s="110">
        <f>IF(AND(W30=1,Assumptions!$B$31-X29&gt;0),1,0)</f>
        <v/>
      </c>
      <c r="Y30" s="110">
        <f>IF(AND(X30=1,Assumptions!$B$31-Y29&gt;0),1,0)</f>
        <v/>
      </c>
    </row>
    <row r="32" ht="15" customHeight="1" s="56">
      <c r="A32" s="68" t="inlineStr">
        <is>
          <t>Summary (24 = funded for at least the full 24 months)</t>
        </is>
      </c>
    </row>
    <row r="33" ht="15" customHeight="1" s="56">
      <c r="A33" s="68" t="inlineStr">
        <is>
          <t>Runway, low cash case (months)</t>
        </is>
      </c>
      <c r="B33" s="78">
        <f>SUM(B24:Y24)</f>
        <v/>
      </c>
    </row>
    <row r="34" ht="15" customHeight="1" s="56">
      <c r="A34" s="68" t="inlineStr">
        <is>
          <t>Runway, base cash case (months)</t>
        </is>
      </c>
      <c r="B34" s="78">
        <f>SUM(B25:Y25)</f>
        <v/>
      </c>
    </row>
    <row r="35" ht="15" customHeight="1" s="56">
      <c r="A35" s="68" t="inlineStr">
        <is>
          <t>Runway, high cash case (months)</t>
        </is>
      </c>
      <c r="B35" s="78">
        <f>SUM(B26:Y26)</f>
        <v/>
      </c>
    </row>
    <row r="36" ht="15" customHeight="1" s="56">
      <c r="A36" s="68" t="inlineStr">
        <is>
          <t>Runway, base cash, without planned hires (months)</t>
        </is>
      </c>
      <c r="B36" s="78">
        <f>SUM(B30:Y30)</f>
        <v/>
      </c>
    </row>
    <row r="37" ht="15" customHeight="1" s="56">
      <c r="A37" s="68" t="inlineStr">
        <is>
          <t>Runway used up by planned hires (months)</t>
        </is>
      </c>
      <c r="B37" s="78">
        <f>B36-B34</f>
        <v/>
      </c>
    </row>
    <row r="38" ht="15" customHeight="1" s="56">
      <c r="A38" s="68" t="inlineStr">
        <is>
          <t>First month gross profit turns positive</t>
        </is>
      </c>
      <c r="B38" s="78">
        <f>IFERROR(MATCH(1,B23:Y23,0),"not within 24 months")</f>
        <v/>
      </c>
    </row>
    <row r="39" ht="15" customHeight="1" s="56">
      <c r="A39" s="68" t="inlineStr">
        <is>
          <t>Cumulative gross profit, 24 months ($mm)</t>
        </is>
      </c>
      <c r="B39" s="88">
        <f>SUM(B18:Y18)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P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55" min="1" max="1"/>
    <col width="11" customWidth="1" style="55" min="2" max="2"/>
    <col width="12" customWidth="1" style="55" min="3" max="3"/>
    <col width="13" customWidth="1" style="55" min="4" max="4"/>
    <col width="14" customWidth="1" style="55" min="5" max="5"/>
    <col width="60" customWidth="1" style="55" min="6" max="6"/>
    <col width="12" customWidth="1" style="55" min="7" max="12"/>
    <col width="10" customWidth="1" style="55" min="13" max="14"/>
    <col width="30" customWidth="1" style="55" min="15" max="16"/>
  </cols>
  <sheetData>
    <row r="1" ht="17.35" customHeight="1" s="56">
      <c r="A1" s="57" t="inlineStr">
        <is>
          <t>Live test: measure real tokens, cost, latency and agreement</t>
        </is>
      </c>
    </row>
    <row r="2" ht="15" customHeight="1" s="56">
      <c r="A2" s="58" t="inlineStr">
        <is>
          <t>Section 1 is already measured. Section 2 fills in when you run jev_live_test.py with your own API keys and paste the CSV rows.</t>
        </is>
      </c>
    </row>
    <row r="4" ht="15" customHeight="1" s="56">
      <c r="A4" s="58" t="inlineStr">
        <is>
          <t>How to run: see the header of jev_live_test.py. Keys stay in your terminal as environment variables; nothing is stored in this workbook.</t>
        </is>
      </c>
    </row>
    <row r="5" ht="15" customHeight="1" s="56">
      <c r="A5" s="68" t="inlineStr">
        <is>
          <t>1. Sample workloads, counted offline</t>
        </is>
      </c>
    </row>
    <row r="6" ht="23.85" customHeight="1" s="56">
      <c r="A6" s="59" t="inlineStr">
        <is>
          <t>Workload</t>
        </is>
      </c>
      <c r="B6" s="59" t="inlineStr">
        <is>
          <t>Questions</t>
        </is>
      </c>
      <c r="C6" s="59" t="inlineStr">
        <is>
          <t>State tokens</t>
        </is>
      </c>
      <c r="D6" s="59" t="inlineStr">
        <is>
          <t>Question tokens</t>
        </is>
      </c>
      <c r="E6" s="59" t="inlineStr">
        <is>
          <t>Total input tokens</t>
        </is>
      </c>
      <c r="F6" s="59" t="inlineStr">
        <is>
          <t>What it represents</t>
        </is>
      </c>
    </row>
    <row r="7" ht="23.85" customHeight="1" s="56">
      <c r="A7" s="60" t="inlineStr">
        <is>
          <t>GL transaction coding</t>
        </is>
      </c>
      <c r="B7" s="74" t="n">
        <v>2</v>
      </c>
      <c r="C7" s="74" t="n">
        <v>357</v>
      </c>
      <c r="D7" s="74" t="n">
        <v>349</v>
      </c>
      <c r="E7" s="74" t="n">
        <v>715</v>
      </c>
      <c r="F7" s="72" t="inlineStr">
        <is>
          <t>Assign a bank transaction to a general-ledger account, with recent coding history for the same vendor as context.</t>
        </is>
      </c>
    </row>
    <row r="8" ht="23.85" customHeight="1" s="56">
      <c r="A8" s="60" t="inlineStr">
        <is>
          <t>Vendor invoice approval check</t>
        </is>
      </c>
      <c r="B8" s="74" t="n">
        <v>3</v>
      </c>
      <c r="C8" s="74" t="n">
        <v>253</v>
      </c>
      <c r="D8" s="74" t="n">
        <v>184</v>
      </c>
      <c r="E8" s="74" t="n">
        <v>447</v>
      </c>
      <c r="F8" s="72" t="inlineStr">
        <is>
          <t>Decide whether an incoming invoice can be auto-approved against the purchase order and contract terms.</t>
        </is>
      </c>
    </row>
    <row r="9" ht="15" customHeight="1" s="56">
      <c r="A9" s="60" t="inlineStr">
        <is>
          <t>Support ticket routing</t>
        </is>
      </c>
      <c r="B9" s="74" t="n">
        <v>3</v>
      </c>
      <c r="C9" s="74" t="n">
        <v>173</v>
      </c>
      <c r="D9" s="74" t="n">
        <v>185</v>
      </c>
      <c r="E9" s="74" t="n">
        <v>369</v>
      </c>
      <c r="F9" s="72" t="inlineStr">
        <is>
          <t>Route an inbound customer email to the right queue and set priority.</t>
        </is>
      </c>
    </row>
    <row r="10" ht="15" customHeight="1" s="56">
      <c r="A10" s="60" t="inlineStr">
        <is>
          <t>Expense report policy check</t>
        </is>
      </c>
      <c r="B10" s="74" t="n">
        <v>2</v>
      </c>
      <c r="C10" s="74" t="n">
        <v>273</v>
      </c>
      <c r="D10" s="74" t="n">
        <v>93</v>
      </c>
      <c r="E10" s="74" t="n">
        <v>375</v>
      </c>
      <c r="F10" s="72" t="inlineStr">
        <is>
          <t>Check an employee expense report against the travel and expense policy.</t>
        </is>
      </c>
    </row>
    <row r="11" ht="23.85" customHeight="1" s="56">
      <c r="A11" s="60" t="inlineStr">
        <is>
          <t>Contract clause risk scoring</t>
        </is>
      </c>
      <c r="B11" s="74" t="n">
        <v>3</v>
      </c>
      <c r="C11" s="74" t="n">
        <v>461</v>
      </c>
      <c r="D11" s="74" t="n">
        <v>154</v>
      </c>
      <c r="E11" s="74" t="n">
        <v>625</v>
      </c>
      <c r="F11" s="72" t="inlineStr">
        <is>
          <t>Score the risk of a customer contract's liability and indemnity clauses for a sales-ops review queue.</t>
        </is>
      </c>
    </row>
    <row r="12" ht="15" customHeight="1" s="56">
      <c r="A12" s="60" t="inlineStr">
        <is>
          <t>Inbound lead qualification</t>
        </is>
      </c>
      <c r="B12" s="74" t="n">
        <v>2</v>
      </c>
      <c r="C12" s="74" t="n">
        <v>111</v>
      </c>
      <c r="D12" s="74" t="n">
        <v>63</v>
      </c>
      <c r="E12" s="74" t="n">
        <v>184</v>
      </c>
      <c r="F12" s="72" t="inlineStr">
        <is>
          <t>Score a self-serve signup for sales follow-up.</t>
        </is>
      </c>
    </row>
    <row r="13" ht="15" customHeight="1" s="56">
      <c r="A13" s="68" t="inlineStr">
        <is>
          <t>Average</t>
        </is>
      </c>
      <c r="E13" s="95">
        <f>AVERAGE(E7:E12)</f>
        <v/>
      </c>
    </row>
    <row r="14" ht="15" customHeight="1" s="56">
      <c r="A14" s="58" t="inlineStr">
        <is>
          <t>Counted with OpenAI's o200k tokenizer as a proxy; Jev's tokenizer is not public, so expect +/- 20%. Total = the full request body (state + questions + model name).</t>
        </is>
      </c>
    </row>
    <row r="16" ht="15" customHeight="1" s="56">
      <c r="A16" s="68" t="inlineStr">
        <is>
          <t>2. Live results: paste jev_live_results.csv here (row 18 onward, one row per workload per LLM run)</t>
        </is>
      </c>
    </row>
    <row r="17" ht="23.85" customHeight="1" s="56">
      <c r="A17" s="59" t="inlineStr">
        <is>
          <t>workload</t>
        </is>
      </c>
      <c r="B17" s="59" t="inlineStr">
        <is>
          <t>questions</t>
        </is>
      </c>
      <c r="C17" s="59" t="inlineStr">
        <is>
          <t>jev_input_tokens</t>
        </is>
      </c>
      <c r="D17" s="59" t="inlineStr">
        <is>
          <t>jev_output_tokens</t>
        </is>
      </c>
      <c r="E17" s="59" t="inlineStr">
        <is>
          <t>jev_median_latency_ms</t>
        </is>
      </c>
      <c r="F17" s="59" t="inlineStr">
        <is>
          <t>jev_cost_usd</t>
        </is>
      </c>
      <c r="G17" s="59" t="inlineStr">
        <is>
          <t>llm_model</t>
        </is>
      </c>
      <c r="H17" s="59" t="inlineStr">
        <is>
          <t>llm_input_tokens</t>
        </is>
      </c>
      <c r="I17" s="59" t="inlineStr">
        <is>
          <t>llm_output_tokens</t>
        </is>
      </c>
      <c r="J17" s="59" t="inlineStr">
        <is>
          <t>llm_reasoning_tokens</t>
        </is>
      </c>
      <c r="K17" s="59" t="inlineStr">
        <is>
          <t>llm_median_latency_ms</t>
        </is>
      </c>
      <c r="L17" s="59" t="inlineStr">
        <is>
          <t>llm_cost_usd</t>
        </is>
      </c>
      <c r="M17" s="59" t="inlineStr">
        <is>
          <t>llm_valid_json</t>
        </is>
      </c>
      <c r="N17" s="59" t="inlineStr">
        <is>
          <t>agreement</t>
        </is>
      </c>
      <c r="O17" s="59" t="inlineStr">
        <is>
          <t>jev_answers</t>
        </is>
      </c>
      <c r="P17" s="59" t="inlineStr">
        <is>
          <t>llm_answers</t>
        </is>
      </c>
    </row>
    <row r="18" ht="15" customHeight="1" s="56">
      <c r="A18" s="90" t="inlineStr">
        <is>
          <t>GL transaction coding</t>
        </is>
      </c>
      <c r="B18" s="90" t="n">
        <v>2</v>
      </c>
      <c r="C18" s="90" t="n">
        <v>1489</v>
      </c>
      <c r="D18" s="90" t="n">
        <v>369</v>
      </c>
      <c r="E18" s="90" t="n">
        <v>269</v>
      </c>
      <c r="F18" s="90" t="n">
        <v>6.253999999999999e-05</v>
      </c>
      <c r="G18" s="90" t="inlineStr">
        <is>
          <t>anthropic/claude-haiku-4.5</t>
        </is>
      </c>
      <c r="H18" s="90" t="n">
        <v>1241</v>
      </c>
      <c r="I18" s="90" t="n">
        <v>396</v>
      </c>
      <c r="J18" s="90" t="n">
        <v>0</v>
      </c>
      <c r="K18" s="90" t="n">
        <v>5316</v>
      </c>
      <c r="L18" s="90" t="n">
        <v>0.003206</v>
      </c>
      <c r="M18" s="90" t="b">
        <v>1</v>
      </c>
      <c r="N18" s="90" t="n">
        <v>1</v>
      </c>
      <c r="O18" s="90" t="inlineStr">
        <is>
          <t>{"gl_account": "5110", "needs_review": 0.89}</t>
        </is>
      </c>
      <c r="P18" s="90" t="inlineStr">
        <is>
          <t>{"gl_account": "5110", "needs_review": 0.72}</t>
        </is>
      </c>
    </row>
    <row r="19" ht="15" customHeight="1" s="56">
      <c r="A19" s="90" t="inlineStr">
        <is>
          <t>Vendor invoice approval check</t>
        </is>
      </c>
      <c r="B19" s="90" t="n">
        <v>3</v>
      </c>
      <c r="C19" s="90" t="n">
        <v>906</v>
      </c>
      <c r="D19" s="90" t="n">
        <v>105</v>
      </c>
      <c r="E19" s="90" t="n">
        <v>240</v>
      </c>
      <c r="F19" s="90" t="n">
        <v>3.805e-05</v>
      </c>
      <c r="G19" s="90" t="inlineStr">
        <is>
          <t>anthropic/claude-haiku-4.5</t>
        </is>
      </c>
      <c r="H19" s="90" t="n">
        <v>844</v>
      </c>
      <c r="I19" s="90" t="n">
        <v>361</v>
      </c>
      <c r="J19" s="90" t="n">
        <v>0</v>
      </c>
      <c r="K19" s="90" t="n">
        <v>3910</v>
      </c>
      <c r="L19" s="90" t="n">
        <v>0.002704</v>
      </c>
      <c r="M19" s="90" t="b">
        <v>1</v>
      </c>
      <c r="N19" s="90" t="n">
        <v>1</v>
      </c>
      <c r="O19" s="90" t="inlineStr">
        <is>
          <t>{"auto_approve": 0.05, "primary_issue": "bank_change", "fraud_risk": 3.06}</t>
        </is>
      </c>
      <c r="P19" s="90" t="inlineStr">
        <is>
          <t>{"auto_approve": 0.0, "primary_issue": "bank_change", "fraud_risk": 2}</t>
        </is>
      </c>
    </row>
    <row r="20" ht="15" customHeight="1" s="56">
      <c r="A20" s="90" t="inlineStr">
        <is>
          <t>Support ticket routing</t>
        </is>
      </c>
      <c r="B20" s="90" t="n">
        <v>3</v>
      </c>
      <c r="C20" s="90" t="n">
        <v>766</v>
      </c>
      <c r="D20" s="90" t="n">
        <v>132</v>
      </c>
      <c r="E20" s="90" t="n">
        <v>260</v>
      </c>
      <c r="F20" s="90" t="n">
        <v>3.217e-05</v>
      </c>
      <c r="G20" s="90" t="inlineStr">
        <is>
          <t>anthropic/claude-haiku-4.5</t>
        </is>
      </c>
      <c r="H20" s="90" t="n">
        <v>666</v>
      </c>
      <c r="I20" s="90" t="n">
        <v>402</v>
      </c>
      <c r="J20" s="90" t="n">
        <v>0</v>
      </c>
      <c r="K20" s="90" t="n">
        <v>5210</v>
      </c>
      <c r="L20" s="90" t="n">
        <v>0.002646</v>
      </c>
      <c r="M20" s="90" t="b">
        <v>1</v>
      </c>
      <c r="N20" s="90" t="n">
        <v>0.5</v>
      </c>
      <c r="O20" s="90" t="inlineStr">
        <is>
          <t>{"queue": "tech_support_p1", "priority": 3.17, "churn_signal": 0.97}</t>
        </is>
      </c>
      <c r="P20" s="90" t="inlineStr">
        <is>
          <t>{"queue": "account_mgmt", "priority": 3, "churn_signal": 0.92}</t>
        </is>
      </c>
    </row>
    <row r="21" ht="15" customHeight="1" s="56">
      <c r="A21" s="90" t="inlineStr">
        <is>
          <t>Expense report policy check</t>
        </is>
      </c>
      <c r="B21" s="90" t="n">
        <v>2</v>
      </c>
      <c r="C21" s="90" t="n">
        <v>809</v>
      </c>
      <c r="D21" s="90" t="n">
        <v>95</v>
      </c>
      <c r="E21" s="90" t="n">
        <v>276</v>
      </c>
      <c r="F21" s="90" t="n">
        <v>3.398e-05</v>
      </c>
      <c r="G21" s="90" t="inlineStr">
        <is>
          <t>anthropic/claude-haiku-4.5</t>
        </is>
      </c>
      <c r="H21" s="90" t="n">
        <v>741</v>
      </c>
      <c r="I21" s="90" t="n">
        <v>355</v>
      </c>
      <c r="J21" s="90" t="n">
        <v>0</v>
      </c>
      <c r="K21" s="90" t="n">
        <v>4519</v>
      </c>
      <c r="L21" s="90" t="n">
        <v>0.002371</v>
      </c>
      <c r="M21" s="90" t="b">
        <v>1</v>
      </c>
      <c r="N21" s="90" t="n">
        <v>1</v>
      </c>
      <c r="O21" s="90" t="inlineStr">
        <is>
          <t>{"compliant": 0.05, "worst_violation": "other_purchase"}</t>
        </is>
      </c>
      <c r="P21" s="90" t="inlineStr">
        <is>
          <t>{"compliant": 0.15, "worst_violation": "other_purchase"}</t>
        </is>
      </c>
    </row>
    <row r="22" ht="15" customHeight="1" s="56">
      <c r="A22" s="90" t="inlineStr">
        <is>
          <t>Contract clause risk scoring</t>
        </is>
      </c>
      <c r="B22" s="90" t="n">
        <v>3</v>
      </c>
      <c r="C22" s="90" t="n">
        <v>1007</v>
      </c>
      <c r="D22" s="90" t="n">
        <v>100</v>
      </c>
      <c r="E22" s="90" t="n">
        <v>256</v>
      </c>
      <c r="F22" s="90" t="n">
        <v>4.229e-05</v>
      </c>
      <c r="G22" s="90" t="inlineStr">
        <is>
          <t>anthropic/claude-haiku-4.5</t>
        </is>
      </c>
      <c r="H22" s="90" t="n">
        <v>942</v>
      </c>
      <c r="I22" s="90" t="n">
        <v>381</v>
      </c>
      <c r="J22" s="90" t="n">
        <v>0</v>
      </c>
      <c r="K22" s="90" t="n">
        <v>4264</v>
      </c>
      <c r="L22" s="90" t="n">
        <v>0.002862</v>
      </c>
      <c r="M22" s="90" t="b">
        <v>1</v>
      </c>
      <c r="N22" s="90" t="n">
        <v>1</v>
      </c>
      <c r="O22" s="90" t="inlineStr">
        <is>
          <t>{"overall_risk": 3.5, "worst_clause": "indemnification", "revenue_recognition_flag": 0.6}</t>
        </is>
      </c>
      <c r="P22" s="90" t="inlineStr">
        <is>
          <t>{"overall_risk": 3, "worst_clause": "indemnification", "revenue_recognition_flag": 0.72}</t>
        </is>
      </c>
    </row>
    <row r="23" ht="15" customHeight="1" s="56">
      <c r="A23" s="90" t="inlineStr">
        <is>
          <t>Inbound lead qualification</t>
        </is>
      </c>
      <c r="B23" s="90" t="n">
        <v>2</v>
      </c>
      <c r="C23" s="90" t="n">
        <v>502</v>
      </c>
      <c r="D23" s="90" t="n">
        <v>34</v>
      </c>
      <c r="E23" s="90" t="n">
        <v>271</v>
      </c>
      <c r="F23" s="90" t="n">
        <v>2.108e-05</v>
      </c>
      <c r="G23" s="90" t="inlineStr">
        <is>
          <t>anthropic/claude-haiku-4.5</t>
        </is>
      </c>
      <c r="H23" s="90" t="n">
        <v>435</v>
      </c>
      <c r="I23" s="90" t="n">
        <v>331</v>
      </c>
      <c r="J23" s="90" t="n">
        <v>0</v>
      </c>
      <c r="K23" s="90" t="n">
        <v>4306</v>
      </c>
      <c r="L23" s="90" t="n">
        <v>0.00209</v>
      </c>
      <c r="M23" s="90" t="b">
        <v>1</v>
      </c>
      <c r="N23" s="90" t="n">
        <v>1</v>
      </c>
      <c r="O23" s="90" t="inlineStr">
        <is>
          <t>{"fit": 3.3, "contact_now": 0.76}</t>
        </is>
      </c>
      <c r="P23" s="90" t="inlineStr">
        <is>
          <t>{"fit": 3, "contact_now": 0.68}</t>
        </is>
      </c>
    </row>
    <row r="24" ht="15" customHeight="1" s="56">
      <c r="A24" s="90" t="inlineStr">
        <is>
          <t>GL transaction coding</t>
        </is>
      </c>
      <c r="B24" s="90" t="n">
        <v>2</v>
      </c>
      <c r="C24" s="90" t="n">
        <v>1489</v>
      </c>
      <c r="D24" s="90" t="n">
        <v>369</v>
      </c>
      <c r="E24" s="90" t="n">
        <v>237</v>
      </c>
      <c r="F24" s="90" t="n">
        <v>6.253999999999999e-05</v>
      </c>
      <c r="G24" s="90" t="inlineStr">
        <is>
          <t>openai/gpt-5.6-terra</t>
        </is>
      </c>
      <c r="H24" s="90" t="n">
        <v>1046</v>
      </c>
      <c r="I24" s="90" t="n">
        <v>77</v>
      </c>
      <c r="J24" s="90" t="n">
        <v>42</v>
      </c>
      <c r="K24" s="90" t="n">
        <v>2814</v>
      </c>
      <c r="L24" s="90" t="n">
        <v>0.0012946</v>
      </c>
      <c r="M24" s="90" t="b">
        <v>1</v>
      </c>
      <c r="N24" s="90" t="n">
        <v>1</v>
      </c>
      <c r="O24" s="90" t="inlineStr">
        <is>
          <t>{"gl_account": "5110", "needs_review": 0.89}</t>
        </is>
      </c>
      <c r="P24" s="90" t="inlineStr">
        <is>
          <t>{"gl_account": "5110", "needs_review": 0.98}</t>
        </is>
      </c>
    </row>
    <row r="25" ht="15" customHeight="1" s="56">
      <c r="A25" s="90" t="inlineStr">
        <is>
          <t>Vendor invoice approval check</t>
        </is>
      </c>
      <c r="B25" s="90" t="n">
        <v>3</v>
      </c>
      <c r="C25" s="90" t="n">
        <v>906</v>
      </c>
      <c r="D25" s="90" t="n">
        <v>105</v>
      </c>
      <c r="E25" s="90" t="n">
        <v>259</v>
      </c>
      <c r="F25" s="90" t="n">
        <v>3.805e-05</v>
      </c>
      <c r="G25" s="90" t="inlineStr">
        <is>
          <t>openai/gpt-5.6-terra</t>
        </is>
      </c>
      <c r="H25" s="90" t="n">
        <v>707</v>
      </c>
      <c r="I25" s="90" t="n">
        <v>134</v>
      </c>
      <c r="J25" s="90" t="n">
        <v>82</v>
      </c>
      <c r="K25" s="90" t="n">
        <v>3606</v>
      </c>
      <c r="L25" s="90" t="n">
        <v>0.003022</v>
      </c>
      <c r="M25" s="90" t="b">
        <v>1</v>
      </c>
      <c r="N25" s="90" t="n">
        <v>1</v>
      </c>
      <c r="O25" s="90" t="inlineStr">
        <is>
          <t>{"auto_approve": 0.05, "primary_issue": "bank_change", "fraud_risk": 3.07}</t>
        </is>
      </c>
      <c r="P25" s="90" t="inlineStr">
        <is>
          <t>{"auto_approve": 0.0, "primary_issue": "bank_change", "fraud_risk": 3}</t>
        </is>
      </c>
    </row>
    <row r="26" ht="15" customHeight="1" s="56">
      <c r="A26" s="90" t="inlineStr">
        <is>
          <t>Support ticket routing</t>
        </is>
      </c>
      <c r="B26" s="90" t="n">
        <v>3</v>
      </c>
      <c r="C26" s="90" t="n">
        <v>766</v>
      </c>
      <c r="D26" s="90" t="n">
        <v>132</v>
      </c>
      <c r="E26" s="90" t="n">
        <v>254</v>
      </c>
      <c r="F26" s="90" t="n">
        <v>3.217e-05</v>
      </c>
      <c r="G26" s="90" t="inlineStr">
        <is>
          <t>openai/gpt-5.6-terra</t>
        </is>
      </c>
      <c r="H26" s="90" t="n">
        <v>570</v>
      </c>
      <c r="I26" s="90" t="n">
        <v>126</v>
      </c>
      <c r="J26" s="90" t="n">
        <v>76</v>
      </c>
      <c r="K26" s="90" t="n">
        <v>3057</v>
      </c>
      <c r="L26" s="90" t="n">
        <v>0.00252</v>
      </c>
      <c r="M26" s="90" t="b">
        <v>1</v>
      </c>
      <c r="N26" s="90" t="n">
        <v>1</v>
      </c>
      <c r="O26" s="90" t="inlineStr">
        <is>
          <t>{"queue": "tech_support_p1", "priority": 3.13, "churn_signal": 0.97}</t>
        </is>
      </c>
      <c r="P26" s="90" t="inlineStr">
        <is>
          <t>{"queue": "tech_support_p1", "priority": 3, "churn_signal": 0.99}</t>
        </is>
      </c>
    </row>
    <row r="27" ht="15" customHeight="1" s="56">
      <c r="A27" s="90" t="inlineStr">
        <is>
          <t>Expense report policy check</t>
        </is>
      </c>
      <c r="B27" s="90" t="n">
        <v>2</v>
      </c>
      <c r="C27" s="90" t="n">
        <v>809</v>
      </c>
      <c r="D27" s="90" t="n">
        <v>95</v>
      </c>
      <c r="E27" s="90" t="n">
        <v>355</v>
      </c>
      <c r="F27" s="90" t="n">
        <v>3.398e-05</v>
      </c>
      <c r="G27" s="90" t="inlineStr">
        <is>
          <t>openai/gpt-5.6-terra</t>
        </is>
      </c>
      <c r="H27" s="90" t="n">
        <v>623</v>
      </c>
      <c r="I27" s="90" t="n">
        <v>197</v>
      </c>
      <c r="J27" s="90" t="n">
        <v>160</v>
      </c>
      <c r="K27" s="90" t="n">
        <v>4005</v>
      </c>
      <c r="L27" s="90" t="n">
        <v>0.00355</v>
      </c>
      <c r="M27" s="90" t="b">
        <v>1</v>
      </c>
      <c r="N27" s="90" t="n">
        <v>0.5</v>
      </c>
      <c r="O27" s="90" t="inlineStr">
        <is>
          <t>{"compliant": 0.06, "worst_violation": "other_purchase"}</t>
        </is>
      </c>
      <c r="P27" s="90" t="inlineStr">
        <is>
          <t>{"compliant": 0.01, "worst_violation": "airfare"}</t>
        </is>
      </c>
    </row>
    <row r="28" ht="15" customHeight="1" s="56">
      <c r="A28" s="90" t="inlineStr">
        <is>
          <t>Contract clause risk scoring</t>
        </is>
      </c>
      <c r="B28" s="90" t="n">
        <v>3</v>
      </c>
      <c r="C28" s="90" t="n">
        <v>1007</v>
      </c>
      <c r="D28" s="90" t="n">
        <v>100</v>
      </c>
      <c r="E28" s="90" t="n">
        <v>271</v>
      </c>
      <c r="F28" s="90" t="n">
        <v>4.229e-05</v>
      </c>
      <c r="G28" s="90" t="inlineStr">
        <is>
          <t>openai/gpt-5.6-terra</t>
        </is>
      </c>
      <c r="H28" s="90" t="n">
        <v>818</v>
      </c>
      <c r="I28" s="90" t="n">
        <v>161</v>
      </c>
      <c r="J28" s="90" t="n">
        <v>106</v>
      </c>
      <c r="K28" s="90" t="n">
        <v>3140</v>
      </c>
      <c r="L28" s="90" t="n">
        <v>0.003568</v>
      </c>
      <c r="M28" s="90" t="b">
        <v>1</v>
      </c>
      <c r="N28" s="90" t="n">
        <v>1</v>
      </c>
      <c r="O28" s="90" t="inlineStr">
        <is>
          <t>{"overall_risk": 3.44, "worst_clause": "indemnification", "revenue_recognition_flag": 0.56}</t>
        </is>
      </c>
      <c r="P28" s="90" t="inlineStr">
        <is>
          <t>{"overall_risk": 4, "worst_clause": "indemnification", "revenue_recognition_flag": 0.89}</t>
        </is>
      </c>
    </row>
    <row r="29" ht="15" customHeight="1" s="56">
      <c r="A29" s="90" t="inlineStr">
        <is>
          <t>Inbound lead qualification</t>
        </is>
      </c>
      <c r="B29" s="90" t="n">
        <v>2</v>
      </c>
      <c r="C29" s="90" t="n">
        <v>502</v>
      </c>
      <c r="D29" s="90" t="n">
        <v>34</v>
      </c>
      <c r="E29" s="90" t="n">
        <v>261</v>
      </c>
      <c r="F29" s="90" t="n">
        <v>2.108e-05</v>
      </c>
      <c r="G29" s="90" t="inlineStr">
        <is>
          <t>openai/gpt-5.6-terra</t>
        </is>
      </c>
      <c r="H29" s="90" t="n">
        <v>358</v>
      </c>
      <c r="I29" s="90" t="n">
        <v>31</v>
      </c>
      <c r="J29" s="90" t="n">
        <v>0</v>
      </c>
      <c r="K29" s="90" t="n">
        <v>1280</v>
      </c>
      <c r="L29" s="90" t="n">
        <v>0.001088</v>
      </c>
      <c r="M29" s="90" t="b">
        <v>1</v>
      </c>
      <c r="N29" s="90" t="n">
        <v>1</v>
      </c>
      <c r="O29" s="90" t="inlineStr">
        <is>
          <t>{"fit": 3.17, "contact_now": 0.74}</t>
        </is>
      </c>
      <c r="P29" s="90" t="inlineStr">
        <is>
          <t>{"fit": 4, "contact_now": 0.96}</t>
        </is>
      </c>
    </row>
    <row r="31" ht="15" customHeight="1" s="56">
      <c r="A31" s="68" t="inlineStr">
        <is>
          <t>Live summary (blank until results are pasted)</t>
        </is>
      </c>
    </row>
    <row r="32" ht="15" customHeight="1" s="56">
      <c r="A32" s="60" t="inlineStr">
        <is>
          <t>Avg Jev billed input tokens per decision</t>
        </is>
      </c>
      <c r="B32" s="78">
        <f>IFERROR(AVERAGE(C18:C29),0)</f>
        <v/>
      </c>
    </row>
    <row r="33" ht="15" customHeight="1" s="56">
      <c r="A33" s="60" t="inlineStr">
        <is>
          <t>Billed tokens / offline count (shows any per-call overhead)</t>
        </is>
      </c>
      <c r="B33" s="106">
        <f>IF(OR(B32=0,E13=0),0,B32/E13)</f>
        <v/>
      </c>
    </row>
    <row r="34" ht="15" customHeight="1" s="56">
      <c r="A34" s="60" t="inlineStr">
        <is>
          <t>Median Jev latency (ms)</t>
        </is>
      </c>
      <c r="B34" s="78">
        <f>IFERROR(MEDIAN(E18:E29),0)</f>
        <v/>
      </c>
    </row>
    <row r="35" ht="15" customHeight="1" s="56">
      <c r="A35" s="60" t="inlineStr">
        <is>
          <t>Median LLM latency (ms)</t>
        </is>
      </c>
      <c r="B35" s="78">
        <f>IFERROR(MEDIAN(K18:K29),0)</f>
        <v/>
      </c>
    </row>
    <row r="36" ht="15" customHeight="1" s="56">
      <c r="A36" s="60" t="inlineStr">
        <is>
          <t>Avg LLM output tokens incl. reasoning</t>
        </is>
      </c>
      <c r="B36" s="78">
        <f>IFERROR(AVERAGE(I18:I29),0)</f>
        <v/>
      </c>
    </row>
    <row r="37" ht="15" customHeight="1" s="56">
      <c r="A37" s="60" t="inlineStr">
        <is>
          <t>Avg Jev cost per decision ($)</t>
        </is>
      </c>
      <c r="B37" s="104">
        <f>IFERROR(AVERAGE(F18:F29),0)</f>
        <v/>
      </c>
    </row>
    <row r="38" ht="15" customHeight="1" s="56">
      <c r="A38" s="60" t="inlineStr">
        <is>
          <t>Avg LLM cost per decision ($)</t>
        </is>
      </c>
      <c r="B38" s="104">
        <f>IFERROR(AVERAGE(L18:L29),0)</f>
        <v/>
      </c>
    </row>
    <row r="39" ht="15" customHeight="1" s="56">
      <c r="A39" s="60" t="inlineStr">
        <is>
          <t>Measured LLM cost / Jev cost</t>
        </is>
      </c>
      <c r="B39" s="106">
        <f>IF(B37=0,0,B38/B37)</f>
        <v/>
      </c>
    </row>
    <row r="40" ht="15" customHeight="1" s="56">
      <c r="A40" s="60" t="inlineStr">
        <is>
          <t>Decision agreement, Jev vs. LLM</t>
        </is>
      </c>
      <c r="B40" s="102">
        <f>IFERROR(AVERAGE(N18:N29),0)</f>
        <v/>
      </c>
    </row>
    <row r="42" ht="15" customHeight="1" s="56">
      <c r="A42" s="58" t="inlineStr">
        <is>
          <t>After a run: set 'Tokens per decision: which source' to Live test on Assumptions, and copy the LLM output token averages into the Prices tab.</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55" min="1" max="1"/>
    <col width="14" customWidth="1" style="55" min="2" max="2"/>
    <col width="16" customWidth="1" style="55" min="3" max="3"/>
    <col width="14" customWidth="1" style="55" min="4" max="4"/>
    <col width="16" customWidth="1" style="55" min="5" max="5"/>
    <col width="14" customWidth="1" style="55" min="6" max="7"/>
    <col width="11" customWidth="1" style="55" min="8" max="8"/>
    <col width="80" customWidth="1" style="55" min="9" max="9"/>
  </cols>
  <sheetData>
    <row r="1" ht="17.35" customHeight="1" s="56">
      <c r="A1" s="57" t="inlineStr">
        <is>
          <t>Price and spec tables behind the dropdowns</t>
        </is>
      </c>
    </row>
    <row r="2" ht="15" customHeight="1" s="56">
      <c r="A2" s="58" t="inlineStr">
        <is>
          <t>Edit these blue cells to update every tab. GPU rates as of Sep 2026; LLM list prices as of Sep 23 2026.</t>
        </is>
      </c>
    </row>
    <row r="4" ht="15" customHeight="1" s="56">
      <c r="A4" s="68" t="inlineStr">
        <is>
          <t>GPUs</t>
        </is>
      </c>
    </row>
    <row r="5" ht="35.05" customHeight="1" s="56">
      <c r="A5" s="59" t="inlineStr">
        <is>
          <t>GPU</t>
        </is>
      </c>
      <c r="B5" s="59" t="inlineStr">
        <is>
          <t>Committed $/hr (est.)</t>
        </is>
      </c>
      <c r="C5" s="59" t="inlineStr">
        <is>
          <t>On-demand, same tier $/hr (est.)</t>
        </is>
      </c>
      <c r="D5" s="59" t="inlineStr">
        <is>
          <t>Market avg on-demand $/hr</t>
        </is>
      </c>
      <c r="E5" s="59" t="inlineStr">
        <is>
          <t>Cheapest on-demand $/hr</t>
        </is>
      </c>
      <c r="F5" s="59" t="inlineStr">
        <is>
          <t>BF16 dense TFLOPS</t>
        </is>
      </c>
      <c r="G5" s="59" t="inlineStr">
        <is>
          <t>FP8 dense TFLOPS</t>
        </is>
      </c>
      <c r="H5" s="59" t="inlineStr">
        <is>
          <t>Memory (GB)</t>
        </is>
      </c>
      <c r="I5" s="59" t="inlineStr">
        <is>
          <t>Reasoning</t>
        </is>
      </c>
    </row>
    <row r="6" ht="23.85" customHeight="1" s="56">
      <c r="A6" s="60" t="inlineStr">
        <is>
          <t>H100 SXM</t>
        </is>
      </c>
      <c r="B6" s="73" t="n">
        <v>2.5</v>
      </c>
      <c r="C6" s="73" t="n">
        <v>3</v>
      </c>
      <c r="D6" s="77" t="n">
        <v>3.84</v>
      </c>
      <c r="E6" s="77" t="n">
        <v>1.79</v>
      </c>
      <c r="F6" s="74" t="n">
        <v>989</v>
      </c>
      <c r="G6" s="74" t="n">
        <v>1979</v>
      </c>
      <c r="H6" s="78" t="n">
        <v>80</v>
      </c>
      <c r="I6" s="72" t="inlineStr">
        <is>
          <t>The price-performance workhorse: mature software, abundant supply, falling rates. Committed estimate sits below the $3.84 market average; neocloud on-demand clusters around $2.70-$3.20.</t>
        </is>
      </c>
    </row>
    <row r="7" ht="23.85" customHeight="1" s="56">
      <c r="A7" s="60" t="inlineStr">
        <is>
          <t>H200</t>
        </is>
      </c>
      <c r="B7" s="73" t="n">
        <v>2.9</v>
      </c>
      <c r="C7" s="73" t="n">
        <v>3.5</v>
      </c>
      <c r="D7" s="77" t="n">
        <v>4.43</v>
      </c>
      <c r="E7" s="77" t="n">
        <v>2.6</v>
      </c>
      <c r="F7" s="74" t="n">
        <v>989</v>
      </c>
      <c r="G7" s="74" t="n">
        <v>1979</v>
      </c>
      <c r="H7" s="78" t="n">
        <v>141</v>
      </c>
      <c r="I7" s="72" t="inlineStr">
        <is>
          <t>Same compute as H100, so no faster per token; the extra memory helps with long contexts and bigger batches. Only worth it if memory is the bottleneck.</t>
        </is>
      </c>
    </row>
    <row r="8" ht="23.85" customHeight="1" s="56">
      <c r="A8" s="60" t="inlineStr">
        <is>
          <t>B200</t>
        </is>
      </c>
      <c r="B8" s="73" t="n">
        <v>4</v>
      </c>
      <c r="C8" s="73" t="n">
        <v>5</v>
      </c>
      <c r="D8" s="77" t="n">
        <v>6.39</v>
      </c>
      <c r="E8" s="77" t="n">
        <v>3.69</v>
      </c>
      <c r="F8" s="74" t="n">
        <v>2250</v>
      </c>
      <c r="G8" s="74" t="n">
        <v>4500</v>
      </c>
      <c r="H8" s="78" t="n">
        <v>192</v>
      </c>
      <c r="I8" s="72" t="inlineStr">
        <is>
          <t>About 2.3x H100 compute for about 1.6x the price, so usually the cheapest per token if capacity is available. Neocloud on-demand around $4.99.</t>
        </is>
      </c>
    </row>
    <row r="9" ht="23.85" customHeight="1" s="56">
      <c r="A9" s="60" t="inlineStr">
        <is>
          <t>B300</t>
        </is>
      </c>
      <c r="B9" s="73" t="n">
        <v>4.8</v>
      </c>
      <c r="C9" s="73" t="n">
        <v>6</v>
      </c>
      <c r="D9" s="77" t="inlineStr">
        <is>
          <t>n/a</t>
        </is>
      </c>
      <c r="E9" s="77" t="n">
        <v>4.89</v>
      </c>
      <c r="F9" s="74" t="n">
        <v>2250</v>
      </c>
      <c r="G9" s="74" t="n">
        <v>4500</v>
      </c>
      <c r="H9" s="78" t="n">
        <v>288</v>
      </c>
      <c r="I9" s="72" t="inlineStr">
        <is>
          <t>Gains over B200 are mainly FP4 and memory; no BF16/FP8 speedup assumed here. Only a single market listing is available as a reference.</t>
        </is>
      </c>
    </row>
    <row r="10" ht="15" customHeight="1" s="56">
      <c r="A10" s="58" t="inlineStr">
        <is>
          <t>Committed and same-tier on-demand rates are estimates. Market average and cheapest listings: Mercatus GPU Index (Sep 13 2026) and a 28-cloud price snapshot (Sep 2026). Dense TFLOPS = half the sparse figures on NVIDIA datasheets.</t>
        </is>
      </c>
    </row>
    <row r="12" ht="15" customHeight="1" s="56">
      <c r="A12" s="68" t="inlineStr">
        <is>
          <t>Comparable LLMs</t>
        </is>
      </c>
    </row>
    <row r="13" ht="35.05" customHeight="1" s="56">
      <c r="A13" s="59" t="inlineStr">
        <is>
          <t>Model</t>
        </is>
      </c>
      <c r="B13" s="59" t="inlineStr">
        <is>
          <t>Input $/M tokens</t>
        </is>
      </c>
      <c r="C13" s="59" t="inlineStr">
        <is>
          <t>Output $/M tokens</t>
        </is>
      </c>
      <c r="D13" s="59" t="inlineStr">
        <is>
          <t>Type</t>
        </is>
      </c>
      <c r="E13" s="59" t="inlineStr">
        <is>
          <t>Visible output tokens / decision (est.)</t>
        </is>
      </c>
      <c r="F13" s="59" t="inlineStr">
        <is>
          <t>Reasoning tokens / decision (est.)</t>
        </is>
      </c>
      <c r="G13" s="59" t="inlineStr">
        <is>
          <t>Reasoning</t>
        </is>
      </c>
    </row>
    <row r="14" ht="68.65000000000001" customHeight="1" s="56">
      <c r="A14" s="60" t="inlineStr">
        <is>
          <t>Claude Haiku 4.5</t>
        </is>
      </c>
      <c r="B14" s="73" t="n">
        <v>1</v>
      </c>
      <c r="C14" s="73" t="n">
        <v>5</v>
      </c>
      <c r="D14" s="60" t="inlineStr">
        <is>
          <t>Fast</t>
        </is>
      </c>
      <c r="E14" s="74" t="n">
        <v>371</v>
      </c>
      <c r="F14" s="74" t="n">
        <v>0</v>
      </c>
      <c r="G14" s="72" t="inlineStr">
        <is>
          <t>Fast, low-cost tier; the natural 'cheap LLM' benchmark for routing and classification.</t>
        </is>
      </c>
    </row>
    <row r="15" ht="35.05" customHeight="1" s="56">
      <c r="A15" s="60" t="inlineStr">
        <is>
          <t>Gemini 3.8 Flash</t>
        </is>
      </c>
      <c r="B15" s="73" t="n">
        <v>0.75</v>
      </c>
      <c r="C15" s="73" t="n">
        <v>3.75</v>
      </c>
      <c r="D15" s="60" t="inlineStr">
        <is>
          <t>Fast</t>
        </is>
      </c>
      <c r="E15" s="74" t="n">
        <v>60</v>
      </c>
      <c r="F15" s="74" t="n">
        <v>0</v>
      </c>
      <c r="G15" s="72" t="inlineStr">
        <is>
          <t>Low-cost tier; list price doubles Jan 1 2027.</t>
        </is>
      </c>
    </row>
    <row r="16" ht="57.45" customHeight="1" s="56">
      <c r="A16" s="60" t="inlineStr">
        <is>
          <t>GPT-6 Luna</t>
        </is>
      </c>
      <c r="B16" s="73" t="n">
        <v>0.1</v>
      </c>
      <c r="C16" s="73" t="n">
        <v>0.5</v>
      </c>
      <c r="D16" s="60" t="inlineStr">
        <is>
          <t>Fast</t>
        </is>
      </c>
      <c r="E16" s="74" t="n">
        <v>60</v>
      </c>
      <c r="F16" s="74" t="n">
        <v>0</v>
      </c>
      <c r="G16" s="72" t="inlineStr">
        <is>
          <t>Cheapest frontier-lab tier; the hardest price for Jev to beat on cost alone.</t>
        </is>
      </c>
    </row>
    <row r="17" ht="35.05" customHeight="1" s="56">
      <c r="A17" s="60" t="inlineStr">
        <is>
          <t>DeepSeek V4-Flash</t>
        </is>
      </c>
      <c r="B17" s="73" t="n">
        <v>0.22</v>
      </c>
      <c r="C17" s="73" t="n">
        <v>0.66</v>
      </c>
      <c r="D17" s="60" t="inlineStr">
        <is>
          <t>Fast</t>
        </is>
      </c>
      <c r="E17" s="74" t="n">
        <v>60</v>
      </c>
      <c r="F17" s="74" t="n">
        <v>0</v>
      </c>
      <c r="G17" s="72" t="inlineStr">
        <is>
          <t>Off-peak price; peak hours cost double.</t>
        </is>
      </c>
    </row>
    <row r="18" ht="91" customHeight="1" s="56">
      <c r="A18" s="60" t="inlineStr">
        <is>
          <t>GPT-5.6 Terra</t>
        </is>
      </c>
      <c r="B18" s="73" t="n">
        <v>2</v>
      </c>
      <c r="C18" s="73" t="n">
        <v>12</v>
      </c>
      <c r="D18" s="60" t="inlineStr">
        <is>
          <t>Reasoning</t>
        </is>
      </c>
      <c r="E18" s="74" t="n">
        <v>43.33333333333333</v>
      </c>
      <c r="F18" s="74" t="n">
        <v>77.66666666666667</v>
      </c>
      <c r="G18" s="72" t="inlineStr">
        <is>
          <t>TypeSafe says this is the model closest to Jev in intelligence; its side-by-side demo ran it with default reasoning.</t>
        </is>
      </c>
    </row>
    <row r="19" ht="46.25" customHeight="1" s="56">
      <c r="A19" s="60" t="inlineStr">
        <is>
          <t>Claude Sonnet 5</t>
        </is>
      </c>
      <c r="B19" s="73" t="n">
        <v>2</v>
      </c>
      <c r="C19" s="73" t="n">
        <v>10</v>
      </c>
      <c r="D19" s="60" t="inlineStr">
        <is>
          <t>Reasoning</t>
        </is>
      </c>
      <c r="E19" s="74" t="n">
        <v>60</v>
      </c>
      <c r="F19" s="74" t="n">
        <v>800</v>
      </c>
      <c r="G19" s="72" t="inlineStr">
        <is>
          <t>Mid-tier model with optional extended thinking.</t>
        </is>
      </c>
    </row>
    <row r="20" ht="68.65000000000001" customHeight="1" s="56">
      <c r="A20" s="60" t="inlineStr">
        <is>
          <t>GPT-6 Astra</t>
        </is>
      </c>
      <c r="B20" s="73" t="n">
        <v>10</v>
      </c>
      <c r="C20" s="73" t="n">
        <v>50</v>
      </c>
      <c r="D20" s="60" t="inlineStr">
        <is>
          <t>Reasoning</t>
        </is>
      </c>
      <c r="E20" s="74" t="n">
        <v>60</v>
      </c>
      <c r="F20" s="74" t="n">
        <v>2000</v>
      </c>
      <c r="G20" s="72" t="inlineStr">
        <is>
          <t>Flagship; one of the two reference models in TypeSafe's workflow evals.</t>
        </is>
      </c>
    </row>
    <row r="21" ht="57.45" customHeight="1" s="56">
      <c r="A21" s="60" t="inlineStr">
        <is>
          <t>Claude Fable 5.1</t>
        </is>
      </c>
      <c r="B21" s="73" t="n">
        <v>10</v>
      </c>
      <c r="C21" s="73" t="n">
        <v>50</v>
      </c>
      <c r="D21" s="60" t="inlineStr">
        <is>
          <t>Reasoning</t>
        </is>
      </c>
      <c r="E21" s="74" t="n">
        <v>60</v>
      </c>
      <c r="F21" s="74" t="n">
        <v>2000</v>
      </c>
      <c r="G21" s="72" t="inlineStr">
        <is>
          <t>Flagship; the other reference model in TypeSafe's workflow evals.</t>
        </is>
      </c>
    </row>
    <row r="22" ht="15" customHeight="1" s="56">
      <c r="A22" s="58" t="inlineStr">
        <is>
          <t>Prices: published list prices compiled by Nadir, Sep 23 2026. Output and reasoning token counts are estimates: replace them with the averages on the LiveTest tab once you've run the live test.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C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55" min="1" max="1"/>
    <col width="42" customWidth="1" style="55" min="2" max="2"/>
    <col width="90" customWidth="1" style="55" min="3" max="3"/>
  </cols>
  <sheetData>
    <row r="1" ht="17.35" customHeight="1" s="56">
      <c r="A1" s="57" t="inlineStr">
        <is>
          <t>Sources</t>
        </is>
      </c>
    </row>
    <row r="2" ht="15" customHeight="1" s="56">
      <c r="A2" s="58" t="inlineStr">
        <is>
          <t>Accessed Sep 29, 2026.</t>
        </is>
      </c>
    </row>
    <row r="4" ht="15" customHeight="1" s="56">
      <c r="A4" s="59" t="inlineStr">
        <is>
          <t>Data point</t>
        </is>
      </c>
      <c r="B4" s="59" t="inlineStr">
        <is>
          <t>Source</t>
        </is>
      </c>
      <c r="C4" s="59" t="inlineStr">
        <is>
          <t>URL</t>
        </is>
      </c>
    </row>
    <row r="5" ht="15" customHeight="1" s="56">
      <c r="A5" s="60" t="inlineStr">
        <is>
          <t>Pricing, latency, Doom demo cost, 'can't prove it isn't subsidized'</t>
        </is>
      </c>
      <c r="B5" s="60" t="inlineStr">
        <is>
          <t>TypeSafe launch blog (Sep 15 2026)</t>
        </is>
      </c>
      <c r="C5" s="60" t="inlineStr">
        <is>
          <t>https://typesafe.ai/blog/introducing-system-one-models-and-jev</t>
        </is>
      </c>
    </row>
    <row r="6" ht="15" customHeight="1" s="56">
      <c r="A6" s="60" t="inlineStr">
        <is>
          <t>API endpoint, request/response schema, usage fields</t>
        </is>
      </c>
      <c r="B6" s="60" t="inlineStr">
        <is>
          <t>TypeSafe API reference</t>
        </is>
      </c>
      <c r="C6" s="60" t="inlineStr">
        <is>
          <t>https://docs.typesafe.ai/api.md</t>
        </is>
      </c>
    </row>
    <row r="7" ht="15" customHeight="1" s="56">
      <c r="A7" s="60" t="inlineStr">
        <is>
          <t>$40M seed led by DCVC; $200M valuation</t>
        </is>
      </c>
      <c r="B7" s="60" t="inlineStr">
        <is>
          <t>Forbes (Sep 15 2026)</t>
        </is>
      </c>
      <c r="C7" s="60" t="inlineStr">
        <is>
          <t>https://www.forbes.com/sites/the-prompt/2026/09/15/this-200-million-startup-wants-to-fix-ais-overconfidence-problem/</t>
        </is>
      </c>
    </row>
    <row r="8" ht="15" customHeight="1" s="56">
      <c r="A8" s="60" t="inlineStr">
        <is>
          <t>$0.042 pricing confirmed in press; valuation unconfirmed by company</t>
        </is>
      </c>
      <c r="B8" s="60" t="inlineStr">
        <is>
          <t>WOWTALE</t>
        </is>
      </c>
      <c r="C8" s="60" t="inlineStr">
        <is>
          <t>https://en.wowtale.net/2026/09/21/235190/</t>
        </is>
      </c>
    </row>
    <row r="9" ht="15" customHeight="1" s="56">
      <c r="A9" s="60" t="inlineStr">
        <is>
          <t>~25 employees</t>
        </is>
      </c>
      <c r="B9" s="60" t="inlineStr">
        <is>
          <t>Signalbase company profile</t>
        </is>
      </c>
      <c r="C9" s="60" t="inlineStr">
        <is>
          <t>https://www.trysignalbase.com/news/funding/typesafe-ai-secures-40</t>
        </is>
      </c>
    </row>
    <row r="10" ht="15" customHeight="1" s="56">
      <c r="A10" s="60" t="inlineStr">
        <is>
          <t>~13% of Vercel AI Gateway paid teams used Jev in 24h</t>
        </is>
      </c>
      <c r="B10" s="60" t="inlineStr">
        <is>
          <t>RuntimeWire, citing The Information / Vercel</t>
        </is>
      </c>
      <c r="C10" s="60" t="inlineStr">
        <is>
          <t>https://runtimewire.com/article/typesafe-investors-discuss-a-higher-valuation-after-jev-reaches-nearly-13-of-one</t>
        </is>
      </c>
    </row>
    <row r="11" ht="15" customHeight="1" s="56">
      <c r="A11" s="60" t="inlineStr">
        <is>
          <t>$5 signup credit; Vercel and OpenRouter availability</t>
        </is>
      </c>
      <c r="B11" s="60" t="inlineStr">
        <is>
          <t>Firecrawl</t>
        </is>
      </c>
      <c r="C11" s="60" t="inlineStr">
        <is>
          <t>https://www.firecrawl.dev/blog/what-is-jev</t>
        </is>
      </c>
    </row>
    <row r="12" ht="15" customHeight="1" s="56">
      <c r="A12" s="60" t="inlineStr">
        <is>
          <t>GPU market averages: H100 $3.84, H200 $4.43, B200 $6.39 (Sep 13 2026)</t>
        </is>
      </c>
      <c r="B12" s="60" t="inlineStr">
        <is>
          <t>Mercatus GPU Index</t>
        </is>
      </c>
      <c r="C12" s="60" t="inlineStr">
        <is>
          <t>https://www.mercatus-ai.com/blog/gpu-rental-prices</t>
        </is>
      </c>
    </row>
    <row r="13" ht="15" customHeight="1" s="56">
      <c r="A13" s="60" t="inlineStr">
        <is>
          <t>Cheapest on-demand: H100 $1.79, H200 $2.60, B200 $3.69, B300 $4.89</t>
        </is>
      </c>
      <c r="B13" s="60" t="inlineStr">
        <is>
          <t>DEV Community, 28-cloud snapshot (Sep 2026)</t>
        </is>
      </c>
      <c r="C13" s="60" t="inlineStr">
        <is>
          <t>https://dev.to/fastgpu/what-it-costs-to-rent-an-h100-b200-or-rtx-4090-in-september-2026-live-prices-from-28-gpu-clouds-12n3</t>
        </is>
      </c>
    </row>
    <row r="14" ht="15" customHeight="1" s="56">
      <c r="A14" s="60" t="inlineStr">
        <is>
          <t>Relative GPU throughput and memory (sparse figures halved to dense)</t>
        </is>
      </c>
      <c r="B14" s="60" t="inlineStr">
        <is>
          <t>Exxact: Blackwell vs Hopper</t>
        </is>
      </c>
      <c r="C14" s="60" t="inlineStr">
        <is>
          <t>https://www.exxactcorp.com/blog/hpc/comparing-nvidia-tensor-core-gpus</t>
        </is>
      </c>
    </row>
    <row r="15" ht="15" customHeight="1" s="56">
      <c r="A15" s="60" t="inlineStr">
        <is>
          <t>LLM list prices (Sep 23 2026)</t>
        </is>
      </c>
      <c r="B15" s="60" t="inlineStr">
        <is>
          <t>Nadir LLM API pricing comparison</t>
        </is>
      </c>
      <c r="C15" s="60" t="inlineStr">
        <is>
          <t>https://getnadir.com/blog/llm-api-pricing-june-2026-complete-comparison/</t>
        </is>
      </c>
    </row>
    <row r="16" ht="15" customHeight="1" s="56">
      <c r="A16" s="60" t="inlineStr">
        <is>
          <t>Architecture undisclosed; suspected open-weight base</t>
        </is>
      </c>
      <c r="B16" s="60" t="inlineStr">
        <is>
          <t>Wikipedia: Jev (AI model)</t>
        </is>
      </c>
      <c r="C16" s="60" t="inlineStr">
        <is>
          <t>https://en.wikipedia.org/wiki/Jev_(AI_model)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2026-09-30T02:10:23Z</dcterms:created>
  <dcterms:modified xsi:type="dcterms:W3CDTF">2026-09-30T02:41:57Z</dcterms:modified>
  <cp:revision>0</cp:revision>
</cp:coreProperties>
</file>